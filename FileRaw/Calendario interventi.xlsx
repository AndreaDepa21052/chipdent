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/Users/andreadepaoli/Documents/Coding/cDen/chipdent/FileRaw/"/>
    </mc:Choice>
  </mc:AlternateContent>
  <xr:revisionPtr revIDLastSave="0" documentId="13_ncr:1_{29ED5715-C84F-A042-9C7B-84E5E83136C7}" xr6:coauthVersionLast="47" xr6:coauthVersionMax="47" xr10:uidLastSave="{00000000-0000-0000-0000-000000000000}"/>
  <bookViews>
    <workbookView xWindow="0" yWindow="660" windowWidth="29460" windowHeight="18980" xr2:uid="{DCEA0645-F501-4F35-BFFE-40E6EE365336}"/>
  </bookViews>
  <sheets>
    <sheet name="PLANNING APERTURA - TO DO" sheetId="12" r:id="rId1"/>
    <sheet name="Registro Antincendio" sheetId="6" r:id="rId2"/>
    <sheet name="Pulizia filtri condizionatori" sheetId="8" r:id="rId3"/>
    <sheet name="Impianto elettrico" sheetId="10" r:id="rId4"/>
    <sheet name="Radiografico" sheetId="11" r:id="rId5"/>
    <sheet name="Bombole ossigeno" sheetId="16" r:id="rId6"/>
    <sheet name="NOLOMEDICAL" sheetId="17" r:id="rId7"/>
    <sheet name="Ecologia Ambiente" sheetId="14" r:id="rId8"/>
  </sheets>
  <definedNames>
    <definedName name="_xlnm._FilterDatabase" localSheetId="5" hidden="1">'Bombole ossigeno'!$B$4:$C$18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7" l="1"/>
  <c r="M3" i="11"/>
  <c r="R2" i="10"/>
  <c r="Q3" i="8"/>
  <c r="R4" i="6"/>
  <c r="F3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tc={20861A30-B3FE-4EB0-B190-3F4B968F6F1F}</author>
    <author>tc={25E39706-9B82-4C6F-886C-5449256CD707}</author>
    <author>tc={A14E2391-7E41-4A35-BDC5-FA80311C788F}</author>
    <author>tc={747419CA-4163-4DD7-B9A0-FBD871F81339}</author>
  </authors>
  <commentList>
    <comment ref="A6" authorId="0" shapeId="0" xr:uid="{20861A30-B3FE-4EB0-B190-3F4B968F6F1F}">
      <text>
        <t>[Threaded comment]
Your version of Excel allows you to read this threaded comment; however, any edits to it will get removed if the file is opened in a newer version of Excel. Learn more: https://go.microsoft.com/fwlink/?linkid=870924
Comment:
    quando varia vi è da svolgere comunicazione all’ATS :
- NUOVO ALLEGATO F
- AUTOCERTIFICAZIONE
- DOC DI IDENTITA’</t>
      </text>
    </comment>
    <comment ref="A9" authorId="1" shapeId="0" xr:uid="{25E39706-9B82-4C6F-886C-5449256CD707}">
      <text>
        <t>[Threaded comment]
Your version of Excel allows you to read this threaded comment; however, any edits to it will get removed if the file is opened in a newer version of Excel. Learn more: https://go.microsoft.com/fwlink/?linkid=870924
Comment:
    DA AGGIORNARE ad ogni variazione del personale medico (invio pec ATS) 
testo mail: “annulla e sostituisce il precedente”</t>
      </text>
    </comment>
    <comment ref="A37" authorId="2" shapeId="0" xr:uid="{A14E2391-7E41-4A35-BDC5-FA80311C788F}">
      <text>
        <t>[Threaded comment]
Your version of Excel allows you to read this threaded comment; however, any edits to it will get removed if the file is opened in a newer version of Excel. Learn more: https://go.microsoft.com/fwlink/?linkid=870924
Comment:
    È lo Studio a gestire i passaggi.
1. devono avere il registro, va compilato in fase di ritiro
2. inizialmente 3 ROT (bidoni) che poi diventano 5
3. x il passaggio x ritiro: ALMENO 2 rot pieni + spore (ctrl autoclavi)</t>
      </text>
    </comment>
    <comment ref="A41" authorId="3" shapeId="0" xr:uid="{747419CA-4163-4DD7-B9A0-FBD871F81339}">
      <text>
        <t>[Threaded comment]
Your version of Excel allows you to read this threaded comment; however, any edits to it will get removed if the file is opened in a newer version of Excel. Learn more: https://go.microsoft.com/fwlink/?linkid=870924
Comment:
    Roberta Giuliano - uff. amm.
r.giuliano@cristalgroup.it
Grazia Colombo - uff. comm. 
commerciale@cristalcooperativa.it
Via M. Buonarroti, 7 - Castellanza
Tel           0331 48 10 14</t>
      </text>
    </comment>
  </commentList>
</comments>
</file>

<file path=xl/sharedStrings.xml><?xml version="1.0" encoding="utf-8"?>
<sst xmlns="http://schemas.openxmlformats.org/spreadsheetml/2006/main" count="698" uniqueCount="244">
  <si>
    <t>Documento</t>
  </si>
  <si>
    <t>Note</t>
  </si>
  <si>
    <t>Responsabile</t>
  </si>
  <si>
    <t>Inviato (flag x sì)</t>
  </si>
  <si>
    <t>Nomina Medico del lavoro</t>
  </si>
  <si>
    <t>documenti@medicolavoro.org</t>
  </si>
  <si>
    <t>Nomina direttore sanitario</t>
  </si>
  <si>
    <t>Invio documentazione appena individuato il medico</t>
  </si>
  <si>
    <t>Accettazione incarico direttore sanitario</t>
  </si>
  <si>
    <t>Documento identità direttore sanitario</t>
  </si>
  <si>
    <t xml:space="preserve">Allegato F (o modulo 5) </t>
  </si>
  <si>
    <t>elenco personale; firma Paolo + DS</t>
  </si>
  <si>
    <r>
      <t>Allegato G (riuniti)</t>
    </r>
    <r>
      <rPr>
        <sz val="8"/>
        <color theme="1"/>
        <rFont val="Arial"/>
        <family val="2"/>
      </rPr>
      <t xml:space="preserve"> - PREPARA MAPELLI</t>
    </r>
  </si>
  <si>
    <t>firma Paolo + DS</t>
  </si>
  <si>
    <t>Assistenza operatoria anesteologica</t>
  </si>
  <si>
    <r>
      <t>Allegato H</t>
    </r>
    <r>
      <rPr>
        <sz val="8"/>
        <color theme="1"/>
        <rFont val="Arial"/>
        <family val="2"/>
      </rPr>
      <t xml:space="preserve"> - PREPARA MAPELLI</t>
    </r>
  </si>
  <si>
    <t>matricole radiografici; firma Paolo + DS</t>
  </si>
  <si>
    <t>Denuncia Radiografici:
ALMENO 15 GIORNI PRIMA dell'installazione, svolgere comunicazione alle autorità competenti (Tina) 
tramite una LETTERA CHE PREPARA GRX (studio di Bombelli)
con: 
- dati società
- visura	
- piantina con indicazione di dove sono stati posizionati (solitamente riunito 1 e 3)
- tipologia di radiografici</t>
  </si>
  <si>
    <t>Registrazione STRIMS (inserimento matricole radiografici)</t>
  </si>
  <si>
    <t>compilazione online entro 6 mesi dall'apertura (non è ancora soggetta a controllo ATS)</t>
  </si>
  <si>
    <t>Tina</t>
  </si>
  <si>
    <t>Antincendio</t>
  </si>
  <si>
    <t>Contratto CVZ x estintori e segnaletica interna</t>
  </si>
  <si>
    <t>Divise</t>
  </si>
  <si>
    <t>Cappello</t>
  </si>
  <si>
    <t>Richiedere visite mediche dipendenti e attestati</t>
  </si>
  <si>
    <t>Autocertificazione infermieri/personale dipendente</t>
  </si>
  <si>
    <t>Chiedere autocert appena individuato il personale</t>
  </si>
  <si>
    <t>Autocertificazione titoli studio medici</t>
  </si>
  <si>
    <t>Chiedere autocert appena individuato il medico</t>
  </si>
  <si>
    <t>Modulo deposito firma - Lo firmano i dottori sono provincia MB</t>
  </si>
  <si>
    <t>Chiedere deposito appena individuato il medico</t>
  </si>
  <si>
    <t>Registro sanificazione ambientale</t>
  </si>
  <si>
    <t>Relazione sanitaria + appendice MEOPA</t>
  </si>
  <si>
    <t>DS</t>
  </si>
  <si>
    <t>Deposito sismico</t>
  </si>
  <si>
    <t>DI.CO. Elettrico</t>
  </si>
  <si>
    <t>DI.CO. Idrico e condizionamento</t>
  </si>
  <si>
    <t>Dichiarazione antimafia</t>
  </si>
  <si>
    <t>Dichiarazione completezza</t>
  </si>
  <si>
    <t>Dichiarazione sicurezza</t>
  </si>
  <si>
    <t>Documento identità responsabile Paolo</t>
  </si>
  <si>
    <t>Elaborato grafico</t>
  </si>
  <si>
    <t>Requisiti</t>
  </si>
  <si>
    <t>Requisiti minimi</t>
  </si>
  <si>
    <t>Requisiti strutturali</t>
  </si>
  <si>
    <t>Visura società (QR CODE)</t>
  </si>
  <si>
    <t>Corsi di formazione (Corso iniziale GRX SAS + corso software+ corso radioprotezione dipendenti)</t>
  </si>
  <si>
    <t>Istanza pre apertura</t>
  </si>
  <si>
    <t>prepara Mapelli; tenere nel faldone ATS</t>
  </si>
  <si>
    <t>contratto rifiuti speciali (ECOLOGIA AMBIENTE)</t>
  </si>
  <si>
    <t>verificare intestazione</t>
  </si>
  <si>
    <t>Michela</t>
  </si>
  <si>
    <t>invio all'Inail della Dico per ottenere numero matricola</t>
  </si>
  <si>
    <t>Registrazione portale TESAN (sistema nazionale sanitario)</t>
  </si>
  <si>
    <t>ordine iniziale LYRECO + AMAZON</t>
  </si>
  <si>
    <t>Inviare DICO a Ing. Motta</t>
  </si>
  <si>
    <t>Autorizzazione video sorveglianza da fare con Comune</t>
  </si>
  <si>
    <t>modulo doppio: istanza + autorizzazione                  2 marche da bollo da 16€</t>
  </si>
  <si>
    <t xml:space="preserve">SAPIO: la bombola </t>
  </si>
  <si>
    <t>trovare FARMACIA</t>
  </si>
  <si>
    <t>CM</t>
  </si>
  <si>
    <t>Iscrizione x TARI</t>
  </si>
  <si>
    <t>denuncia al comune per insegene</t>
  </si>
  <si>
    <t>SCIA</t>
  </si>
  <si>
    <t>Invio documentazione di competenza a De Ciechi e Bombelli e fissare app.ti per sopralluoghi</t>
  </si>
  <si>
    <t>1 mese e 1 settimana prima dell'apertura</t>
  </si>
  <si>
    <t xml:space="preserve">Invio PEC alle autorità competenti </t>
  </si>
  <si>
    <t>almeno 15 gg prima della consegna dei Radiografici</t>
  </si>
  <si>
    <t>sopralluoghi De Ciechi e Bombelli</t>
  </si>
  <si>
    <t>1 settimana prima dell'apertura</t>
  </si>
  <si>
    <t>Denuncia all'INAIL dell'impianto di messa a terra</t>
  </si>
  <si>
    <t>entro l'apertura - pagamento bollettino 30€</t>
  </si>
  <si>
    <t>Tina a Lavinia</t>
  </si>
  <si>
    <t>DESIO</t>
  </si>
  <si>
    <t>VARESE</t>
  </si>
  <si>
    <t>GIUSSANO</t>
  </si>
  <si>
    <t>CORMANO</t>
  </si>
  <si>
    <t>COMO</t>
  </si>
  <si>
    <t>MILANO7</t>
  </si>
  <si>
    <t>MILANO9</t>
  </si>
  <si>
    <t>SGM</t>
  </si>
  <si>
    <t>BUSTO A.</t>
  </si>
  <si>
    <t>BOLLATE</t>
  </si>
  <si>
    <t>MILANO6</t>
  </si>
  <si>
    <t>MILANO3</t>
  </si>
  <si>
    <t>BRUGHERIO</t>
  </si>
  <si>
    <t>studio di:</t>
  </si>
  <si>
    <t>ultima mtz</t>
  </si>
  <si>
    <t>archiviato in faldone ATS</t>
  </si>
  <si>
    <t>PROSSIMA SCADENZA (a 6 mesi)</t>
  </si>
  <si>
    <t>note</t>
  </si>
  <si>
    <t xml:space="preserve">COMO </t>
  </si>
  <si>
    <t>MESSA A TERRA  (BIENNALE)</t>
  </si>
  <si>
    <t>PROSSIMA SCADENZA (a 2 anni)</t>
  </si>
  <si>
    <t>IMPIANTO ELETTRICO (ANNUALE)</t>
  </si>
  <si>
    <t>PROSSIMA SCADENZA (a 1 anno)</t>
  </si>
  <si>
    <t>ELETTROMEDICALI (BIENNALE)</t>
  </si>
  <si>
    <t>ultimo ctrl</t>
  </si>
  <si>
    <t>Decorrenza</t>
  </si>
  <si>
    <t>SCADENZA</t>
  </si>
  <si>
    <t>Contenitori
forniti</t>
  </si>
  <si>
    <t>Rifiuti sanitari</t>
  </si>
  <si>
    <t>Contenitore
supplementare</t>
  </si>
  <si>
    <t>Amalgama</t>
  </si>
  <si>
    <t>Compilazione MUD</t>
  </si>
  <si>
    <t>Registro
carico/scarico</t>
  </si>
  <si>
    <t>Autoclave</t>
  </si>
  <si>
    <t>Smaltimento 
farmaci</t>
  </si>
  <si>
    <t>5 da 40lt</t>
  </si>
  <si>
    <t>€ 998,00 + IVA</t>
  </si>
  <si>
    <t>€ 11,90 + IVA</t>
  </si>
  <si>
    <t>€ 90,00 + IVA</t>
  </si>
  <si>
    <t>€ 99,00 + IVA</t>
  </si>
  <si>
    <t>€ 440,00 + IVA</t>
  </si>
  <si>
    <t>NO</t>
  </si>
  <si>
    <r>
      <rPr>
        <b/>
        <sz val="11"/>
        <color theme="1"/>
        <rFont val="Aptos Narrow"/>
        <family val="2"/>
        <scheme val="minor"/>
      </rPr>
      <t>13/01/2025:</t>
    </r>
    <r>
      <rPr>
        <sz val="11"/>
        <color theme="1"/>
        <rFont val="Aptos Narrow"/>
        <family val="2"/>
        <scheme val="minor"/>
      </rPr>
      <t xml:space="preserve"> richiesto nuovo registro vidimato CCIAA € 99,00 + IVA</t>
    </r>
  </si>
  <si>
    <t>€ 59,00 + IVA</t>
  </si>
  <si>
    <t>3 da 40lt</t>
  </si>
  <si>
    <t>€ 709,00 + IVA</t>
  </si>
  <si>
    <t>€ 13,50 + IVA</t>
  </si>
  <si>
    <t>€ 449,00 + IVA</t>
  </si>
  <si>
    <t>Gianni</t>
  </si>
  <si>
    <t>contratto Culligan</t>
  </si>
  <si>
    <t xml:space="preserve">Assicurazione - RC Immobile </t>
  </si>
  <si>
    <t>Paolo</t>
  </si>
  <si>
    <t>Assisicurazione - RC Professionale</t>
  </si>
  <si>
    <t>Iscrizione n. telefono clinica nel portale NO SPAM</t>
  </si>
  <si>
    <t xml:space="preserve">CRYSTAL: contratto per pulizie ordinarie e straordinari </t>
  </si>
  <si>
    <t>Timbri</t>
  </si>
  <si>
    <t>Contratto pedana (se necessario)</t>
  </si>
  <si>
    <t>Alla prima verifica biennale ricordarsi di comunicare ad INAIL il nominativo di chi fa verifica messa a terra</t>
  </si>
  <si>
    <t xml:space="preserve">BOMBOLA OSSIGENO </t>
  </si>
  <si>
    <t>CLINICA</t>
  </si>
  <si>
    <t>BUSTO ARSIZIO</t>
  </si>
  <si>
    <t>€ 359 + IVA</t>
  </si>
  <si>
    <t>COMASINA</t>
  </si>
  <si>
    <t>01-250910-00249547</t>
  </si>
  <si>
    <t>OP2509NDW249547</t>
  </si>
  <si>
    <t>STUDIO</t>
  </si>
  <si>
    <t>PAGAMENTO</t>
  </si>
  <si>
    <t>COD. 
IDENTIFICATIVO</t>
  </si>
  <si>
    <t>NUMERO 
ISCRIZIONE</t>
  </si>
  <si>
    <t>DATA
 ISCRIZIONE</t>
  </si>
  <si>
    <t>Dir. Segreteria</t>
  </si>
  <si>
    <t>Contrib. Annuale</t>
  </si>
  <si>
    <t>RINNOVATO</t>
  </si>
  <si>
    <t>Inizio/rinnovo
contratto</t>
  </si>
  <si>
    <t>NOLOMEDICAL (durata 1 anno)</t>
  </si>
  <si>
    <t>PROSSIMA 
SCADENZA</t>
  </si>
  <si>
    <t>Tina, Lavinia</t>
  </si>
  <si>
    <t>Effettuato il 02/12/2025</t>
  </si>
  <si>
    <t>Effettuato il 03/06/2025</t>
  </si>
  <si>
    <t>Effettuato il 10/11/2025</t>
  </si>
  <si>
    <t>Effettuato il 24/11/2025</t>
  </si>
  <si>
    <t>Effettuato il 28/08/2025</t>
  </si>
  <si>
    <t>Effettuato il 05/10/2024</t>
  </si>
  <si>
    <t>Effettuato il 25/06/2025</t>
  </si>
  <si>
    <t>Effettuato il  22/05/2024</t>
  </si>
  <si>
    <t>Effettuato il  20/11/2024</t>
  </si>
  <si>
    <t>Effettuato il 15/02/2025</t>
  </si>
  <si>
    <t>Pagamento
effetuato fino al</t>
  </si>
  <si>
    <t>Scadenza 
contratto</t>
  </si>
  <si>
    <t>01-260120-00335254</t>
  </si>
  <si>
    <t>01-260120-00335327</t>
  </si>
  <si>
    <t>01-260120-00335400</t>
  </si>
  <si>
    <t>Effettuato il 20/01/2026</t>
  </si>
  <si>
    <t xml:space="preserve">Effettuato il 20/01/2026  </t>
  </si>
  <si>
    <t>OP2601RGF335254-MB0001</t>
  </si>
  <si>
    <t>OP2601YKF335327-VA0001</t>
  </si>
  <si>
    <t>OP2601LUE335400-MB0001</t>
  </si>
  <si>
    <t>OP2601NTS335509-MI0001</t>
  </si>
  <si>
    <t>OP2601HSQ335570-CO0001</t>
  </si>
  <si>
    <t>OP2601S7V335650-MI0001</t>
  </si>
  <si>
    <t>OP2601PBF335700-MI0001</t>
  </si>
  <si>
    <t>OP2601NQA335778-MI0001</t>
  </si>
  <si>
    <t>OP26015L6335853-VA0001</t>
  </si>
  <si>
    <t>OP2601XXT335922-MI0001</t>
  </si>
  <si>
    <t>OP2601NLA336004-MI0001</t>
  </si>
  <si>
    <t>OP2601CY7336074-MI0001</t>
  </si>
  <si>
    <t>OP2601C89336232-MB0001</t>
  </si>
  <si>
    <t xml:space="preserve">01-260120-00335509 </t>
  </si>
  <si>
    <t xml:space="preserve">01-260120-00335570 </t>
  </si>
  <si>
    <t>01-260120-00335650</t>
  </si>
  <si>
    <t>01-260120-00335700</t>
  </si>
  <si>
    <t xml:space="preserve">01-260120-00335778 </t>
  </si>
  <si>
    <t>01-260120-00335853</t>
  </si>
  <si>
    <t>01-260120-00335922</t>
  </si>
  <si>
    <t>01-260120-00336004</t>
  </si>
  <si>
    <t>01-260120-00336074</t>
  </si>
  <si>
    <t>01-260120-00336232</t>
  </si>
  <si>
    <t>Effettuato il 23/01/2026</t>
  </si>
  <si>
    <t>Effettuato il 22/01/2026</t>
  </si>
  <si>
    <t>ECOLOGIA AMBIENTE</t>
  </si>
  <si>
    <t>Contratti fino al 31/12/2025</t>
  </si>
  <si>
    <t>Contratti dal 01/01/2026</t>
  </si>
  <si>
    <t>€ 1.276,00 + IVA</t>
  </si>
  <si>
    <t>omaggio</t>
  </si>
  <si>
    <t>Ritiro toner</t>
  </si>
  <si>
    <t>Compilazione
 MUD</t>
  </si>
  <si>
    <t>€ 1.025,00 + IVA</t>
  </si>
  <si>
    <t>Scadenza 
contratto
(biennale)</t>
  </si>
  <si>
    <t>disdetta via PEC entro 90 gg dalla scadenza (ago-2028)</t>
  </si>
  <si>
    <t>Effettuato il 29/01/2026</t>
  </si>
  <si>
    <t>Ricordare a Motta di fare controllo DAE maggio 2026</t>
  </si>
  <si>
    <t>Effettuato il 03/09/2025</t>
  </si>
  <si>
    <t>Genarazione PIN</t>
  </si>
  <si>
    <t>PIN (valido 365 gg)</t>
  </si>
  <si>
    <t>Scaricata App</t>
  </si>
  <si>
    <t>ISCRIZIONE RENTRI + APP FIR DIGITALE</t>
  </si>
  <si>
    <t>App. FIR digitale</t>
  </si>
  <si>
    <t>Effettuato il 16/02/2026</t>
  </si>
  <si>
    <t>Effettuato il 30/01/2026</t>
  </si>
  <si>
    <t>18/02 Manuel conferma a voce perché non riesce ad accedere all'e-mail</t>
  </si>
  <si>
    <t xml:space="preserve">Effettuato il 16/03/2026 </t>
  </si>
  <si>
    <t>Programmato per il 7/4/2026 ore 9,00</t>
  </si>
  <si>
    <t>Luciana</t>
  </si>
  <si>
    <t>Effettuato il 09/02/2026</t>
  </si>
  <si>
    <t>Effettuato il 03/03/2026</t>
  </si>
  <si>
    <t>Effettuato il 10/03/2026</t>
  </si>
  <si>
    <t>Effettuato il 16/12/2025</t>
  </si>
  <si>
    <t>Effettuato il 12/01/2026</t>
  </si>
  <si>
    <t>Effettuato il 09/01/2026</t>
  </si>
  <si>
    <t>Effettuato il 19/01/2026</t>
  </si>
  <si>
    <t>Effettuato l' 08/01/2026</t>
  </si>
  <si>
    <t>Effettuato il 10/01/2026</t>
  </si>
  <si>
    <t>Effettuato il 26/01/2026</t>
  </si>
  <si>
    <t>Effettuato il 27/10/2025</t>
  </si>
  <si>
    <t>Effettuato il 03/11/2025</t>
  </si>
  <si>
    <t>Effettuato il 10/02/2026</t>
  </si>
  <si>
    <t>Effettuato il 07/01/2025</t>
  </si>
  <si>
    <t>Effettuato il 7/4/2026</t>
  </si>
  <si>
    <t>Effettuato il 08/4/2026</t>
  </si>
  <si>
    <t>Rinnovo pagamento entro il 30/4</t>
  </si>
  <si>
    <t>Programmato per il 4/5/2026 ore 14,00</t>
  </si>
  <si>
    <t>Effettuato il 22/04/2026</t>
  </si>
  <si>
    <t>2 anno</t>
  </si>
  <si>
    <t>pagamento effettuato il 23/04/2026</t>
  </si>
  <si>
    <t>Effettuato il  27/4/2026</t>
  </si>
  <si>
    <t>Effettuato il 22/4/2026</t>
  </si>
  <si>
    <t xml:space="preserve">Programmato per il 15/06/2026 </t>
  </si>
  <si>
    <t xml:space="preserve">Programmato per il 26/05/2026 </t>
  </si>
  <si>
    <t xml:space="preserve">Programmato per il 19/5/2025 </t>
  </si>
  <si>
    <t xml:space="preserve">Programmato per il 19/05/2026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</si>
</sst>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[$-410]mmm\-yy;@"/>
  </numFmts>
  <fonts count="23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b/>
      <i/>
      <sz val="9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6"/>
      <color theme="1"/>
      <name val="Arial"/>
      <family val="2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24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6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F37A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15AE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D795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44" fontId="16" fillId="0" borderId="0" applyFont="0" applyFill="0" applyBorder="0" applyAlignment="0" applyProtection="0"/>
  </cellStyleXfs>
  <cellXfs count="204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2" xfId="0" quotePrefix="1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0" fillId="0" borderId="1" xfId="1" applyBorder="1" applyAlignment="1">
      <alignment vertical="center"/>
    </xf>
    <xf numFmtId="0" fontId="3" fillId="0" borderId="0" xfId="0" applyFont="1" applyAlignment="1">
      <alignment vertical="center" wrapText="1"/>
    </xf>
    <xf numFmtId="17" fontId="8" fillId="0" borderId="1" xfId="0" applyNumberFormat="1" applyFont="1" applyBorder="1" applyAlignment="1">
      <alignment horizontal="center" vertical="center"/>
    </xf>
    <xf numFmtId="17" fontId="7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7" xfId="0" applyBorder="1"/>
    <xf numFmtId="0" fontId="8" fillId="0" borderId="0" xfId="0" applyFont="1" applyAlignment="1">
      <alignment vertical="center"/>
    </xf>
    <xf numFmtId="0" fontId="0" fillId="0" borderId="20" xfId="0" applyBorder="1"/>
    <xf numFmtId="17" fontId="9" fillId="0" borderId="1" xfId="0" applyNumberFormat="1" applyFont="1" applyBorder="1" applyAlignment="1">
      <alignment horizontal="center"/>
    </xf>
    <xf numFmtId="14" fontId="0" fillId="0" borderId="18" xfId="0" applyNumberFormat="1" applyBorder="1" applyAlignment="1">
      <alignment horizontal="center"/>
    </xf>
    <xf numFmtId="44" fontId="0" fillId="0" borderId="18" xfId="2" applyFont="1" applyBorder="1" applyAlignment="1">
      <alignment horizontal="center"/>
    </xf>
    <xf numFmtId="0" fontId="0" fillId="0" borderId="24" xfId="0" applyBorder="1"/>
    <xf numFmtId="17" fontId="9" fillId="0" borderId="27" xfId="0" applyNumberFormat="1" applyFont="1" applyBorder="1" applyAlignment="1">
      <alignment horizontal="center"/>
    </xf>
    <xf numFmtId="0" fontId="7" fillId="0" borderId="0" xfId="0" applyFont="1" applyAlignment="1">
      <alignment vertical="center"/>
    </xf>
    <xf numFmtId="14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7" fontId="7" fillId="0" borderId="0" xfId="0" applyNumberFormat="1" applyFont="1" applyAlignment="1">
      <alignment horizontal="center" vertical="center"/>
    </xf>
    <xf numFmtId="17" fontId="8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27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13" fillId="0" borderId="1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9" fillId="0" borderId="28" xfId="0" applyFont="1" applyBorder="1" applyAlignment="1">
      <alignment horizontal="center" vertical="center"/>
    </xf>
    <xf numFmtId="0" fontId="7" fillId="0" borderId="20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14" fontId="13" fillId="0" borderId="22" xfId="0" applyNumberFormat="1" applyFont="1" applyBorder="1" applyAlignment="1">
      <alignment horizontal="center" vertical="center"/>
    </xf>
    <xf numFmtId="17" fontId="7" fillId="0" borderId="22" xfId="0" applyNumberFormat="1" applyFont="1" applyBorder="1" applyAlignment="1">
      <alignment horizontal="center" vertical="center"/>
    </xf>
    <xf numFmtId="17" fontId="8" fillId="0" borderId="22" xfId="0" applyNumberFormat="1" applyFont="1" applyBorder="1" applyAlignment="1">
      <alignment horizontal="center" vertical="center"/>
    </xf>
    <xf numFmtId="17" fontId="8" fillId="6" borderId="22" xfId="0" applyNumberFormat="1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vertical="center"/>
    </xf>
    <xf numFmtId="0" fontId="7" fillId="7" borderId="18" xfId="0" applyFont="1" applyFill="1" applyBorder="1" applyAlignment="1">
      <alignment horizontal="center" vertical="center"/>
    </xf>
    <xf numFmtId="0" fontId="7" fillId="7" borderId="18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7" fillId="0" borderId="20" xfId="0" applyFont="1" applyBorder="1"/>
    <xf numFmtId="0" fontId="5" fillId="0" borderId="24" xfId="0" applyFont="1" applyBorder="1"/>
    <xf numFmtId="44" fontId="0" fillId="0" borderId="7" xfId="2" applyFont="1" applyBorder="1" applyAlignment="1"/>
    <xf numFmtId="0" fontId="0" fillId="0" borderId="19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7" borderId="22" xfId="0" applyFont="1" applyFill="1" applyBorder="1" applyAlignment="1">
      <alignment horizontal="center" vertical="center"/>
    </xf>
    <xf numFmtId="0" fontId="5" fillId="7" borderId="31" xfId="0" applyFont="1" applyFill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9" fillId="7" borderId="28" xfId="0" applyFont="1" applyFill="1" applyBorder="1" applyAlignment="1">
      <alignment horizontal="center" vertical="center" wrapText="1"/>
    </xf>
    <xf numFmtId="0" fontId="9" fillId="7" borderId="15" xfId="0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 wrapText="1"/>
    </xf>
    <xf numFmtId="0" fontId="9" fillId="7" borderId="16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vertical="center"/>
    </xf>
    <xf numFmtId="0" fontId="5" fillId="0" borderId="20" xfId="0" applyFont="1" applyBorder="1"/>
    <xf numFmtId="164" fontId="5" fillId="7" borderId="0" xfId="0" applyNumberFormat="1" applyFont="1" applyFill="1"/>
    <xf numFmtId="164" fontId="14" fillId="0" borderId="21" xfId="0" quotePrefix="1" applyNumberFormat="1" applyFont="1" applyBorder="1" applyAlignment="1">
      <alignment horizontal="center" vertical="center" wrapText="1"/>
    </xf>
    <xf numFmtId="164" fontId="14" fillId="0" borderId="30" xfId="0" quotePrefix="1" applyNumberFormat="1" applyFont="1" applyBorder="1" applyAlignment="1">
      <alignment horizontal="center" vertical="center" wrapText="1"/>
    </xf>
    <xf numFmtId="0" fontId="7" fillId="7" borderId="20" xfId="0" applyFont="1" applyFill="1" applyBorder="1" applyAlignment="1">
      <alignment vertical="center"/>
    </xf>
    <xf numFmtId="0" fontId="7" fillId="7" borderId="42" xfId="0" applyFont="1" applyFill="1" applyBorder="1" applyAlignment="1">
      <alignment vertical="center"/>
    </xf>
    <xf numFmtId="0" fontId="0" fillId="8" borderId="20" xfId="0" applyFill="1" applyBorder="1"/>
    <xf numFmtId="0" fontId="0" fillId="9" borderId="0" xfId="0" applyFill="1"/>
    <xf numFmtId="44" fontId="0" fillId="0" borderId="1" xfId="2" applyFont="1" applyBorder="1" applyAlignment="1">
      <alignment horizontal="center"/>
    </xf>
    <xf numFmtId="44" fontId="0" fillId="0" borderId="1" xfId="2" applyFont="1" applyBorder="1" applyAlignment="1"/>
    <xf numFmtId="0" fontId="0" fillId="0" borderId="22" xfId="0" applyBorder="1" applyAlignment="1">
      <alignment horizontal="right"/>
    </xf>
    <xf numFmtId="44" fontId="0" fillId="0" borderId="22" xfId="2" applyFont="1" applyFill="1" applyBorder="1" applyAlignment="1"/>
    <xf numFmtId="0" fontId="0" fillId="0" borderId="38" xfId="0" applyBorder="1"/>
    <xf numFmtId="0" fontId="0" fillId="0" borderId="39" xfId="0" applyBorder="1"/>
    <xf numFmtId="0" fontId="0" fillId="0" borderId="41" xfId="0" applyBorder="1"/>
    <xf numFmtId="17" fontId="9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20" fillId="0" borderId="3" xfId="0" quotePrefix="1" applyNumberFormat="1" applyFont="1" applyBorder="1" applyAlignment="1">
      <alignment horizontal="center" vertical="center" wrapText="1"/>
    </xf>
    <xf numFmtId="164" fontId="20" fillId="0" borderId="5" xfId="0" quotePrefix="1" applyNumberFormat="1" applyFont="1" applyBorder="1" applyAlignment="1">
      <alignment horizontal="center" vertical="center" wrapText="1"/>
    </xf>
    <xf numFmtId="164" fontId="20" fillId="0" borderId="6" xfId="0" quotePrefix="1" applyNumberFormat="1" applyFont="1" applyBorder="1" applyAlignment="1">
      <alignment horizontal="center" vertical="center" wrapText="1"/>
    </xf>
    <xf numFmtId="164" fontId="22" fillId="0" borderId="3" xfId="0" quotePrefix="1" applyNumberFormat="1" applyFont="1" applyBorder="1" applyAlignment="1">
      <alignment horizontal="left" vertical="center" wrapText="1"/>
    </xf>
    <xf numFmtId="164" fontId="22" fillId="0" borderId="5" xfId="0" quotePrefix="1" applyNumberFormat="1" applyFont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7" fontId="9" fillId="6" borderId="3" xfId="0" applyNumberFormat="1" applyFont="1" applyFill="1" applyBorder="1" applyAlignment="1">
      <alignment horizontal="center" vertical="center"/>
    </xf>
    <xf numFmtId="17" fontId="9" fillId="6" borderId="6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7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17" fontId="12" fillId="6" borderId="3" xfId="0" applyNumberFormat="1" applyFont="1" applyFill="1" applyBorder="1" applyAlignment="1">
      <alignment horizontal="center" vertical="center"/>
    </xf>
    <xf numFmtId="17" fontId="12" fillId="6" borderId="6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17" fontId="12" fillId="6" borderId="5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19" fillId="0" borderId="3" xfId="0" quotePrefix="1" applyNumberFormat="1" applyFont="1" applyBorder="1" applyAlignment="1">
      <alignment horizontal="left" vertical="center" wrapText="1"/>
    </xf>
    <xf numFmtId="164" fontId="19" fillId="0" borderId="5" xfId="0" quotePrefix="1" applyNumberFormat="1" applyFont="1" applyBorder="1" applyAlignment="1">
      <alignment horizontal="left" vertical="center" wrapText="1"/>
    </xf>
    <xf numFmtId="164" fontId="19" fillId="0" borderId="23" xfId="0" quotePrefix="1" applyNumberFormat="1" applyFont="1" applyBorder="1" applyAlignment="1">
      <alignment horizontal="left" vertical="center" wrapText="1"/>
    </xf>
    <xf numFmtId="17" fontId="12" fillId="0" borderId="3" xfId="0" applyNumberFormat="1" applyFont="1" applyBorder="1" applyAlignment="1">
      <alignment horizontal="center" vertical="center"/>
    </xf>
    <xf numFmtId="17" fontId="12" fillId="0" borderId="5" xfId="0" applyNumberFormat="1" applyFont="1" applyBorder="1" applyAlignment="1">
      <alignment horizontal="center" vertical="center"/>
    </xf>
    <xf numFmtId="17" fontId="12" fillId="0" borderId="38" xfId="0" applyNumberFormat="1" applyFont="1" applyBorder="1" applyAlignment="1">
      <alignment horizontal="center" vertical="center"/>
    </xf>
    <xf numFmtId="17" fontId="12" fillId="0" borderId="39" xfId="0" applyNumberFormat="1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40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20" fillId="0" borderId="38" xfId="0" quotePrefix="1" applyNumberFormat="1" applyFont="1" applyBorder="1" applyAlignment="1">
      <alignment horizontal="center" vertical="center" wrapText="1"/>
    </xf>
    <xf numFmtId="164" fontId="20" fillId="0" borderId="39" xfId="0" quotePrefix="1" applyNumberFormat="1" applyFont="1" applyBorder="1" applyAlignment="1">
      <alignment horizontal="center" vertical="center" wrapText="1"/>
    </xf>
    <xf numFmtId="164" fontId="20" fillId="0" borderId="40" xfId="0" quotePrefix="1" applyNumberFormat="1" applyFont="1" applyBorder="1" applyAlignment="1">
      <alignment horizontal="center" vertical="center" wrapText="1"/>
    </xf>
    <xf numFmtId="164" fontId="19" fillId="0" borderId="38" xfId="0" quotePrefix="1" applyNumberFormat="1" applyFont="1" applyBorder="1" applyAlignment="1">
      <alignment horizontal="left" vertical="center" wrapText="1"/>
    </xf>
    <xf numFmtId="164" fontId="19" fillId="0" borderId="39" xfId="0" quotePrefix="1" applyNumberFormat="1" applyFont="1" applyBorder="1" applyAlignment="1">
      <alignment horizontal="left" vertical="center" wrapText="1"/>
    </xf>
    <xf numFmtId="164" fontId="19" fillId="0" borderId="41" xfId="0" quotePrefix="1" applyNumberFormat="1" applyFont="1" applyBorder="1" applyAlignment="1">
      <alignment horizontal="left" vertical="center" wrapText="1"/>
    </xf>
    <xf numFmtId="0" fontId="12" fillId="4" borderId="35" xfId="0" applyFont="1" applyFill="1" applyBorder="1" applyAlignment="1">
      <alignment horizontal="center"/>
    </xf>
    <xf numFmtId="0" fontId="12" fillId="4" borderId="36" xfId="0" applyFont="1" applyFill="1" applyBorder="1" applyAlignment="1">
      <alignment horizontal="center"/>
    </xf>
    <xf numFmtId="0" fontId="12" fillId="4" borderId="37" xfId="0" applyFont="1" applyFill="1" applyBorder="1" applyAlignment="1">
      <alignment horizontal="center"/>
    </xf>
    <xf numFmtId="164" fontId="21" fillId="0" borderId="3" xfId="0" quotePrefix="1" applyNumberFormat="1" applyFont="1" applyBorder="1" applyAlignment="1">
      <alignment horizontal="left" vertical="center" wrapText="1"/>
    </xf>
    <xf numFmtId="164" fontId="21" fillId="0" borderId="5" xfId="0" quotePrefix="1" applyNumberFormat="1" applyFont="1" applyBorder="1" applyAlignment="1">
      <alignment horizontal="left" vertical="center" wrapText="1"/>
    </xf>
    <xf numFmtId="164" fontId="21" fillId="0" borderId="23" xfId="0" quotePrefix="1" applyNumberFormat="1" applyFont="1" applyBorder="1" applyAlignment="1">
      <alignment horizontal="left" vertical="center" wrapText="1"/>
    </xf>
    <xf numFmtId="164" fontId="22" fillId="0" borderId="23" xfId="0" quotePrefix="1" applyNumberFormat="1" applyFont="1" applyBorder="1" applyAlignment="1">
      <alignment horizontal="left" vertical="center" wrapText="1"/>
    </xf>
    <xf numFmtId="164" fontId="22" fillId="0" borderId="38" xfId="0" quotePrefix="1" applyNumberFormat="1" applyFont="1" applyBorder="1" applyAlignment="1">
      <alignment horizontal="left" vertical="center" wrapText="1"/>
    </xf>
    <xf numFmtId="164" fontId="22" fillId="0" borderId="39" xfId="0" quotePrefix="1" applyNumberFormat="1" applyFont="1" applyBorder="1" applyAlignment="1">
      <alignment horizontal="left" vertical="center" wrapText="1"/>
    </xf>
    <xf numFmtId="164" fontId="22" fillId="0" borderId="41" xfId="0" quotePrefix="1" applyNumberFormat="1" applyFont="1" applyBorder="1" applyAlignment="1">
      <alignment horizontal="left" vertical="center" wrapText="1"/>
    </xf>
    <xf numFmtId="17" fontId="9" fillId="0" borderId="3" xfId="0" applyNumberFormat="1" applyFont="1" applyBorder="1" applyAlignment="1">
      <alignment horizontal="center" vertical="center"/>
    </xf>
    <xf numFmtId="17" fontId="9" fillId="0" borderId="6" xfId="0" applyNumberFormat="1" applyFont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21" xfId="0" applyFill="1" applyBorder="1" applyAlignment="1">
      <alignment horizontal="left" vertical="center"/>
    </xf>
    <xf numFmtId="17" fontId="9" fillId="0" borderId="38" xfId="0" applyNumberFormat="1" applyFont="1" applyBorder="1" applyAlignment="1">
      <alignment horizontal="center" vertical="center"/>
    </xf>
    <xf numFmtId="17" fontId="9" fillId="0" borderId="40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7" fillId="7" borderId="43" xfId="0" applyFont="1" applyFill="1" applyBorder="1" applyAlignment="1">
      <alignment horizontal="center" vertical="center"/>
    </xf>
    <xf numFmtId="0" fontId="6" fillId="7" borderId="43" xfId="0" applyFont="1" applyFill="1" applyBorder="1" applyAlignment="1">
      <alignment horizontal="center" vertical="center"/>
    </xf>
    <xf numFmtId="0" fontId="9" fillId="3" borderId="43" xfId="0" applyFont="1" applyFill="1" applyBorder="1" applyAlignment="1">
      <alignment horizontal="center" vertical="center"/>
    </xf>
    <xf numFmtId="0" fontId="7" fillId="7" borderId="4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5" fillId="7" borderId="11" xfId="0" applyFont="1" applyFill="1" applyBorder="1" applyAlignment="1">
      <alignment horizontal="center" vertical="center"/>
    </xf>
    <xf numFmtId="0" fontId="15" fillId="7" borderId="13" xfId="0" applyFont="1" applyFill="1" applyBorder="1" applyAlignment="1">
      <alignment horizontal="center" vertical="center"/>
    </xf>
    <xf numFmtId="0" fontId="15" fillId="7" borderId="12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left" vertical="center"/>
    </xf>
    <xf numFmtId="0" fontId="5" fillId="0" borderId="29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7" borderId="34" xfId="0" applyFont="1" applyFill="1" applyBorder="1" applyAlignment="1">
      <alignment horizontal="center" vertical="center"/>
    </xf>
    <xf numFmtId="0" fontId="12" fillId="7" borderId="11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0" fontId="12" fillId="7" borderId="13" xfId="0" applyFont="1" applyFill="1" applyBorder="1" applyAlignment="1">
      <alignment horizontal="center" vertical="center"/>
    </xf>
    <xf numFmtId="14" fontId="13" fillId="0" borderId="22" xfId="0" applyNumberFormat="1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7" fillId="7" borderId="7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32" xfId="0" applyFont="1" applyFill="1" applyBorder="1" applyAlignment="1">
      <alignment horizontal="center" vertical="center"/>
    </xf>
    <xf numFmtId="0" fontId="7" fillId="7" borderId="2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7" borderId="25" xfId="0" applyFont="1" applyFill="1" applyBorder="1" applyAlignment="1">
      <alignment horizontal="center" vertical="center" wrapText="1"/>
    </xf>
    <xf numFmtId="0" fontId="7" fillId="7" borderId="26" xfId="0" applyFont="1" applyFill="1" applyBorder="1" applyAlignment="1">
      <alignment horizontal="center" vertical="center" wrapText="1"/>
    </xf>
    <xf numFmtId="0" fontId="7" fillId="7" borderId="33" xfId="0" applyFont="1" applyFill="1" applyBorder="1" applyAlignment="1">
      <alignment horizontal="center" vertical="center" wrapText="1"/>
    </xf>
    <xf numFmtId="0" fontId="7" fillId="7" borderId="27" xfId="0" applyFont="1" applyFill="1" applyBorder="1" applyAlignment="1">
      <alignment horizontal="center" vertical="center" wrapText="1"/>
    </xf>
    <xf numFmtId="0" fontId="18" fillId="7" borderId="11" xfId="0" applyFont="1" applyFill="1" applyBorder="1" applyAlignment="1">
      <alignment horizontal="center" vertical="center"/>
    </xf>
    <xf numFmtId="0" fontId="18" fillId="7" borderId="12" xfId="0" applyFont="1" applyFill="1" applyBorder="1" applyAlignment="1">
      <alignment horizontal="center" vertical="center"/>
    </xf>
    <xf numFmtId="0" fontId="18" fillId="7" borderId="13" xfId="0" applyFont="1" applyFill="1" applyBorder="1" applyAlignment="1">
      <alignment horizontal="center" vertical="center"/>
    </xf>
    <xf numFmtId="0" fontId="7" fillId="7" borderId="18" xfId="0" applyFont="1" applyFill="1" applyBorder="1" applyAlignment="1">
      <alignment horizontal="center" vertical="center"/>
    </xf>
    <xf numFmtId="0" fontId="7" fillId="7" borderId="19" xfId="0" applyFont="1" applyFill="1" applyBorder="1" applyAlignment="1">
      <alignment horizontal="center" vertical="center"/>
    </xf>
    <xf numFmtId="14" fontId="13" fillId="0" borderId="3" xfId="0" applyNumberFormat="1" applyFont="1" applyBorder="1" applyAlignment="1">
      <alignment horizontal="center" vertical="center"/>
    </xf>
    <xf numFmtId="14" fontId="13" fillId="0" borderId="6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17" fillId="0" borderId="7" xfId="0" applyFont="1" applyBorder="1" applyAlignment="1">
      <alignment horizontal="center"/>
    </xf>
    <xf numFmtId="0" fontId="17" fillId="0" borderId="9" xfId="0" applyFont="1" applyBorder="1" applyAlignment="1">
      <alignment horizontal="center"/>
    </xf>
  </cellXfs>
  <cellStyles count="3">
    <cellStyle name="Currency" xfId="2" builtinId="4"/>
    <cellStyle name="Hyperlink" xfId="1" builtinId="8"/>
    <cellStyle name="Normal" xfId="0" builtinId="0"/>
  </cellStyles>
  <dxfs count="31">
    <dxf>
      <fill>
        <patternFill>
          <bgColor theme="0"/>
        </patternFill>
      </fill>
    </dxf>
    <dxf>
      <font>
        <b/>
        <i val="0"/>
        <color auto="1"/>
      </font>
      <fill>
        <patternFill>
          <bgColor theme="5" tint="0.59996337778862885"/>
        </patternFill>
      </fill>
    </dxf>
    <dxf>
      <font>
        <b/>
        <i val="0"/>
      </font>
      <fill>
        <patternFill patternType="none">
          <bgColor auto="1"/>
        </patternFill>
      </fill>
    </dxf>
    <dxf>
      <fill>
        <patternFill>
          <bgColor theme="0"/>
        </patternFill>
      </fill>
    </dxf>
    <dxf>
      <font>
        <b/>
        <i val="0"/>
        <color auto="1"/>
      </font>
      <fill>
        <patternFill>
          <bgColor theme="5" tint="0.59996337778862885"/>
        </patternFill>
      </fill>
    </dxf>
    <dxf>
      <font>
        <b/>
        <i val="0"/>
      </font>
      <fill>
        <patternFill patternType="none">
          <bgColor auto="1"/>
        </patternFill>
      </fill>
    </dxf>
    <dxf>
      <fill>
        <patternFill>
          <bgColor theme="6" tint="0.79998168889431442"/>
        </patternFill>
      </fill>
    </dxf>
    <dxf>
      <fill>
        <patternFill>
          <bgColor rgb="FFFFFF99"/>
        </patternFill>
      </fill>
    </dxf>
    <dxf>
      <fill>
        <patternFill>
          <bgColor theme="0"/>
        </patternFill>
      </fill>
    </dxf>
    <dxf>
      <font>
        <b/>
        <i val="0"/>
        <color auto="1"/>
      </font>
      <fill>
        <patternFill>
          <bgColor theme="5" tint="0.5999633777886288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>
          <bgColor theme="6" tint="0.79998168889431442"/>
        </patternFill>
      </fill>
    </dxf>
    <dxf>
      <font>
        <b val="0"/>
        <i val="0"/>
      </font>
      <fill>
        <patternFill>
          <bgColor rgb="FFFFFF99"/>
        </patternFill>
      </fill>
    </dxf>
    <dxf>
      <font>
        <b val="0"/>
        <i val="0"/>
      </font>
      <fill>
        <patternFill>
          <bgColor theme="6" tint="0.79998168889431442"/>
        </patternFill>
      </fill>
    </dxf>
    <dxf>
      <font>
        <b val="0"/>
        <i val="0"/>
      </font>
      <fill>
        <patternFill>
          <bgColor rgb="FFFFFF99"/>
        </patternFill>
      </fill>
    </dxf>
    <dxf>
      <fill>
        <patternFill>
          <bgColor theme="0"/>
        </patternFill>
      </fill>
    </dxf>
    <dxf>
      <fill>
        <patternFill>
          <bgColor rgb="FFFFFF99"/>
        </patternFill>
      </fill>
    </dxf>
    <dxf>
      <fill>
        <patternFill patternType="solid">
          <bgColor theme="6" tint="0.79998168889431442"/>
        </patternFill>
      </fill>
    </dxf>
    <dxf>
      <fill>
        <patternFill>
          <bgColor theme="0"/>
        </patternFill>
      </fill>
    </dxf>
    <dxf>
      <font>
        <b/>
        <i val="0"/>
        <color auto="1"/>
      </font>
      <fill>
        <patternFill>
          <bgColor theme="5" tint="0.59996337778862885"/>
        </patternFill>
      </fill>
    </dxf>
    <dxf>
      <font>
        <b/>
        <i val="0"/>
      </font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rgb="FFFFFF99"/>
        </patternFill>
      </fill>
    </dxf>
    <dxf>
      <fill>
        <patternFill patternType="solid">
          <bgColor theme="6" tint="0.79998168889431442"/>
        </patternFill>
      </fill>
    </dxf>
    <dxf>
      <font>
        <b/>
        <i val="0"/>
        <color auto="1"/>
      </font>
      <fill>
        <patternFill>
          <bgColor theme="5" tint="0.59996337778862885"/>
        </patternFill>
      </fill>
    </dxf>
    <dxf>
      <font>
        <b/>
        <i val="0"/>
      </font>
      <fill>
        <patternFill patternType="none">
          <bgColor auto="1"/>
        </patternFill>
      </fill>
    </dxf>
    <dxf>
      <fill>
        <patternFill>
          <bgColor rgb="FFFFFF99"/>
        </patternFill>
      </fill>
    </dxf>
    <dxf>
      <fill>
        <patternFill patternType="solid">
          <bgColor theme="6" tint="0.79998168889431442"/>
        </patternFill>
      </fill>
    </dxf>
    <dxf>
      <fill>
        <patternFill>
          <bgColor theme="0"/>
        </patternFill>
      </fill>
    </dxf>
    <dxf>
      <fill>
        <patternFill>
          <bgColor rgb="FFFFCCCC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FD7955"/>
      <color rgb="FFFFFFCC"/>
      <color rgb="FFFFFF99"/>
      <color rgb="FFFFCCCC"/>
      <color rgb="FF15AEBC"/>
      <color rgb="FF159999"/>
      <color rgb="FF009999"/>
      <color rgb="FFAF37A1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1938130</xdr:colOff>
      <xdr:row>8</xdr:row>
      <xdr:rowOff>219324</xdr:rowOff>
    </xdr:from>
    <xdr:to>
      <xdr:col>8</xdr:col>
      <xdr:colOff>115957</xdr:colOff>
      <xdr:row>9</xdr:row>
      <xdr:rowOff>16565</xdr:rowOff>
    </xdr:to>
    <xdr:sp macro="" textlink="">
      <xdr:nvSpPr>
        <xdr:cNvPr id="3" name="Freccia a destra 2">
          <a:extLst>
            <a:ext uri="{FF2B5EF4-FFF2-40B4-BE49-F238E27FC236}">
              <a16:creationId xmlns:a16="http://schemas.microsoft.com/office/drawing/2014/main" id="{5029353A-E119-45F1-8E9C-6BE7EA917527}"/>
            </a:ext>
          </a:extLst>
        </xdr:cNvPr>
        <xdr:cNvSpPr/>
      </xdr:nvSpPr>
      <xdr:spPr>
        <a:xfrm>
          <a:off x="13855810" y="973704"/>
          <a:ext cx="1195347" cy="4108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1</xdr:row>
      <xdr:rowOff>1</xdr:rowOff>
    </xdr:from>
    <xdr:to>
      <xdr:col>10</xdr:col>
      <xdr:colOff>247650</xdr:colOff>
      <xdr:row>10</xdr:row>
      <xdr:rowOff>114301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2B2D04DE-14A6-0F40-2811-1FCE486A239B}"/>
            </a:ext>
          </a:extLst>
        </xdr:cNvPr>
        <xdr:cNvSpPr txBox="1"/>
      </xdr:nvSpPr>
      <xdr:spPr>
        <a:xfrm>
          <a:off x="3781425" y="190501"/>
          <a:ext cx="3524250" cy="1828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fontAlgn="base"/>
          <a:r>
            <a:rPr lang="it-IT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CVZ ANTINCENDI SRL:</a:t>
          </a:r>
          <a:endParaRPr lang="it-IT" sz="16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/>
          <a:r>
            <a:rPr lang="it-IT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Busto Arsizio</a:t>
          </a:r>
          <a:r>
            <a:rPr lang="it-IT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Via Volterra 14</a:t>
          </a:r>
        </a:p>
        <a:p>
          <a:pPr fontAlgn="base"/>
          <a:br>
            <a:rPr lang="it-IT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it-IT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Telefono:</a:t>
          </a:r>
          <a:r>
            <a:rPr lang="it-IT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it-IT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+39 0331 678220</a:t>
          </a:r>
          <a:endParaRPr lang="it-IT" sz="16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/>
          <a:r>
            <a:rPr lang="it-IT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Fax:</a:t>
          </a:r>
          <a:r>
            <a:rPr lang="it-IT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it-IT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+39 0331 322252</a:t>
          </a:r>
          <a:endParaRPr lang="it-IT" sz="16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/>
          <a:r>
            <a:rPr lang="it-IT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Email:</a:t>
          </a:r>
          <a:r>
            <a:rPr lang="it-IT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it-IT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info@cvzantincendi.it</a:t>
          </a:r>
          <a:endParaRPr lang="it-IT" sz="16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/>
          <a:r>
            <a:rPr lang="it-IT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PEC:</a:t>
          </a:r>
          <a:r>
            <a:rPr lang="it-IT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it-IT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nuovacavazzana@legalmail.it</a:t>
          </a:r>
          <a:endParaRPr lang="it-IT" sz="16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it-I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1</xdr:row>
      <xdr:rowOff>19051</xdr:rowOff>
    </xdr:from>
    <xdr:to>
      <xdr:col>7</xdr:col>
      <xdr:colOff>352425</xdr:colOff>
      <xdr:row>9</xdr:row>
      <xdr:rowOff>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F76F59-7C5B-45C6-B98F-3EA59DBFC0EF}"/>
            </a:ext>
          </a:extLst>
        </xdr:cNvPr>
        <xdr:cNvSpPr txBox="1"/>
      </xdr:nvSpPr>
      <xdr:spPr>
        <a:xfrm>
          <a:off x="1276350" y="209551"/>
          <a:ext cx="3524250" cy="15049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600" b="1"/>
            <a:t>FERIOLI PAOLO   </a:t>
          </a:r>
          <a:r>
            <a:rPr lang="it-IT" sz="1400" b="0"/>
            <a:t>(installa i condizionatori)</a:t>
          </a:r>
        </a:p>
        <a:p>
          <a:r>
            <a:rPr lang="it-IT" sz="1400" b="0"/>
            <a:t>Gorla Minore</a:t>
          </a:r>
          <a:r>
            <a:rPr lang="it-IT" sz="1400" b="0" baseline="0"/>
            <a:t> (VA) - Via Ugo Foscolo, 79</a:t>
          </a:r>
          <a:endParaRPr lang="it-IT" sz="1400" b="0"/>
        </a:p>
        <a:p>
          <a:endParaRPr lang="it-IT" sz="1400" b="0"/>
        </a:p>
        <a:p>
          <a:r>
            <a:rPr lang="it-IT" sz="1400" b="0"/>
            <a:t>cell</a:t>
          </a:r>
          <a:r>
            <a:rPr lang="it-IT" sz="1400" b="0" baseline="0"/>
            <a:t>:	</a:t>
          </a:r>
          <a:r>
            <a:rPr lang="it-IT" sz="1400" b="0"/>
            <a:t>333 236 87 67</a:t>
          </a:r>
        </a:p>
        <a:p>
          <a:r>
            <a:rPr lang="it-IT" sz="1400" b="0"/>
            <a:t>tel:	0331 60 44 53</a:t>
          </a:r>
        </a:p>
        <a:p>
          <a:r>
            <a:rPr lang="it-IT" sz="1400" b="0"/>
            <a:t>email:	paoloferioli64@gmail.com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598413</xdr:colOff>
      <xdr:row>23</xdr:row>
      <xdr:rowOff>10283</xdr:rowOff>
    </xdr:from>
    <xdr:to>
      <xdr:col>26</xdr:col>
      <xdr:colOff>10886</xdr:colOff>
      <xdr:row>30</xdr:row>
      <xdr:rowOff>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65647D95-138D-A6E9-671D-7161DB31130A}"/>
            </a:ext>
          </a:extLst>
        </xdr:cNvPr>
        <xdr:cNvSpPr txBox="1"/>
      </xdr:nvSpPr>
      <xdr:spPr>
        <a:xfrm>
          <a:off x="13182299" y="5061254"/>
          <a:ext cx="3603473" cy="1851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800" b="1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ING.</a:t>
          </a:r>
          <a:r>
            <a:rPr lang="it-IT" sz="1800" b="1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ANDREA MOTTA</a:t>
          </a:r>
          <a:br>
            <a:rPr lang="it-IT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it-IT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Via Medici del Vascello 23 sc. 4 - Milano </a:t>
          </a:r>
          <a:br>
            <a:rPr lang="it-IT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it-IT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it-IT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cell:	335 524 00 15 </a:t>
          </a:r>
          <a:endParaRPr lang="it-IT" sz="1600" b="1" u="none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it-IT" sz="1000" b="1" u="none"/>
        </a:p>
        <a:p>
          <a:r>
            <a:rPr lang="it-IT" sz="1600" b="0" u="none"/>
            <a:t>email:	info@andreamotta.it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it-IT" sz="1600" b="0" u="none"/>
            <a:t>	</a:t>
          </a:r>
          <a:r>
            <a:rPr lang="it-IT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andrea.motta@fastwebnet.it</a:t>
          </a:r>
          <a:endParaRPr lang="it-IT" sz="1600" b="0" u="none"/>
        </a:p>
      </xdr:txBody>
    </xdr:sp>
    <xdr:clientData/>
  </xdr:twoCellAnchor>
  <xdr:twoCellAnchor>
    <xdr:from>
      <xdr:col>19</xdr:col>
      <xdr:colOff>592666</xdr:colOff>
      <xdr:row>4</xdr:row>
      <xdr:rowOff>260955</xdr:rowOff>
    </xdr:from>
    <xdr:to>
      <xdr:col>27</xdr:col>
      <xdr:colOff>0</xdr:colOff>
      <xdr:row>12</xdr:row>
      <xdr:rowOff>0</xdr:rowOff>
    </xdr:to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10C6DB66-F74C-5C61-C6B5-F4BA6D7E4278}"/>
            </a:ext>
          </a:extLst>
        </xdr:cNvPr>
        <xdr:cNvSpPr txBox="1"/>
      </xdr:nvSpPr>
      <xdr:spPr>
        <a:xfrm>
          <a:off x="13176552" y="631069"/>
          <a:ext cx="4197048" cy="18726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20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V.E.M. Srl (</a:t>
          </a:r>
          <a:r>
            <a:rPr lang="it-IT" sz="16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sempre tramite </a:t>
          </a:r>
          <a:r>
            <a:rPr lang="it-IT" sz="18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Ing. Motta</a:t>
          </a:r>
          <a:r>
            <a:rPr lang="it-IT" sz="20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)</a:t>
          </a:r>
        </a:p>
        <a:p>
          <a:r>
            <a:rPr lang="it-IT" sz="16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Via Bellini 5 - Scanzorosciate (BG) </a:t>
          </a:r>
        </a:p>
        <a:p>
          <a:endParaRPr lang="it-IT" sz="16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it-IT" sz="16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tel: 	03 50 27 06 21 </a:t>
          </a:r>
        </a:p>
        <a:p>
          <a:r>
            <a:rPr lang="it-IT" sz="16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mail: 	</a:t>
          </a:r>
          <a:r>
            <a:rPr lang="it-IT" sz="1600" b="0" i="0" u="sng" strike="noStrike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info@vemverifiche.com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it-IT" sz="1600" b="0" i="0" u="none" strike="noStrike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	</a:t>
          </a:r>
          <a:r>
            <a:rPr lang="it-IT" sz="1600" b="0" u="none">
              <a:solidFill>
                <a:schemeClr val="tx2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>
                <a:extLst>
                  <a:ext uri="{A12FA001-AC4F-418D-AE19-62706E023703}">
                    <ahyp:hlinkClr xmlns:ahyp="http://schemas.microsoft.com/office/drawing/2018/hyperlinkcolor" val="tx"/>
                  </a:ext>
                </a:extLst>
              </a:hlinkClick>
            </a:rPr>
            <a:t>impiantielettrici@vemverifiche.com</a:t>
          </a:r>
          <a:endParaRPr lang="it-IT" sz="1600" b="0" u="none">
            <a:solidFill>
              <a:schemeClr val="tx2">
                <a:lumMod val="75000"/>
                <a:lumOff val="25000"/>
              </a:schemeClr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6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</a:p>
      </xdr:txBody>
    </xdr:sp>
    <xdr:clientData/>
  </xdr:twoCellAnchor>
  <xdr:twoCellAnchor>
    <xdr:from>
      <xdr:col>19</xdr:col>
      <xdr:colOff>598712</xdr:colOff>
      <xdr:row>40</xdr:row>
      <xdr:rowOff>261259</xdr:rowOff>
    </xdr:from>
    <xdr:to>
      <xdr:col>25</xdr:col>
      <xdr:colOff>587829</xdr:colOff>
      <xdr:row>48</xdr:row>
      <xdr:rowOff>1</xdr:rowOff>
    </xdr:to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1CDCCDD3-E066-466C-A94F-D561F0D38848}"/>
            </a:ext>
          </a:extLst>
        </xdr:cNvPr>
        <xdr:cNvSpPr txBox="1"/>
      </xdr:nvSpPr>
      <xdr:spPr>
        <a:xfrm>
          <a:off x="13182598" y="9633859"/>
          <a:ext cx="3581402" cy="18723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800" b="1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ING.</a:t>
          </a:r>
          <a:r>
            <a:rPr lang="it-IT" sz="1800" b="1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ANDREA MOTTA</a:t>
          </a:r>
          <a:br>
            <a:rPr lang="it-IT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it-IT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Via Medici del Vascello 23 sc. 4 - Milano </a:t>
          </a:r>
          <a:br>
            <a:rPr lang="it-IT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it-IT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it-IT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cell:	335 524 00 15 </a:t>
          </a:r>
          <a:endParaRPr lang="it-IT" sz="1600" b="1" u="none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it-IT" sz="1000" b="1" u="none"/>
        </a:p>
        <a:p>
          <a:r>
            <a:rPr lang="it-IT" sz="1600" b="0" u="none"/>
            <a:t>email:	info@andreamotta.it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it-IT" sz="1600" b="0" u="none"/>
            <a:t>	</a:t>
          </a:r>
          <a:r>
            <a:rPr lang="it-IT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andrea.motta@fastwebnet.it</a:t>
          </a:r>
          <a:endParaRPr lang="it-IT" sz="1600" b="0" u="none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1</xdr:row>
      <xdr:rowOff>15240</xdr:rowOff>
    </xdr:from>
    <xdr:to>
      <xdr:col>4</xdr:col>
      <xdr:colOff>413385</xdr:colOff>
      <xdr:row>9</xdr:row>
      <xdr:rowOff>72390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07556767-57D9-F3F3-7FDC-2B9EF11DD7E0}"/>
            </a:ext>
          </a:extLst>
        </xdr:cNvPr>
        <xdr:cNvSpPr txBox="1"/>
      </xdr:nvSpPr>
      <xdr:spPr>
        <a:xfrm>
          <a:off x="563880" y="381000"/>
          <a:ext cx="2874645" cy="15201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GRX sas</a:t>
          </a:r>
          <a:endParaRPr lang="it-IT" sz="18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Roberto Bombelli</a:t>
          </a:r>
        </a:p>
        <a:p>
          <a:endParaRPr lang="it-IT" sz="18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cell</a:t>
          </a:r>
          <a:r>
            <a:rPr lang="it-IT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	335 819 23 99</a:t>
          </a:r>
          <a:endParaRPr lang="it-IT" sz="1800">
            <a:effectLst/>
          </a:endParaRPr>
        </a:p>
        <a:p>
          <a:r>
            <a:rPr lang="it-IT" sz="1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tel:	02 54 01 27 54</a:t>
          </a:r>
          <a:endParaRPr lang="it-IT" sz="1800">
            <a:effectLst/>
          </a:endParaRPr>
        </a:p>
        <a:p>
          <a:r>
            <a:rPr lang="it-IT" sz="1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email:	</a:t>
          </a:r>
          <a:r>
            <a:rPr lang="it-IT" sz="120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infogrx@gmail.com</a:t>
          </a:r>
          <a:endParaRPr lang="it-IT" sz="1800">
            <a:effectLst/>
          </a:endParaRP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Confident Studi Dentistici" id="{99F38099-A240-49C9-8699-996C0D1FFBDB}" userId="S::info@confident.dental::a90693fd-08df-4064-9195-9cbfd1a28565" providerId="AD"/>
</personList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6" dT="2024-10-13T19:12:44.39" personId="{99F38099-A240-49C9-8699-996C0D1FFBDB}" id="{20861A30-B3FE-4EB0-B190-3F4B968F6F1F}">
    <text>quando varia vi è da svolgere comunicazione all’ATS :
- NUOVO ALLEGATO F
- AUTOCERTIFICAZIONE
- DOC DI IDENTITA’</text>
  </threadedComment>
  <threadedComment ref="A9" dT="2024-10-13T17:18:41.27" personId="{99F38099-A240-49C9-8699-996C0D1FFBDB}" id="{25E39706-9B82-4C6F-886C-5449256CD707}">
    <text>DA AGGIORNARE ad ogni variazione del personale medico (invio pec ATS) 
testo mail: “annulla e sostituisce il precedente”</text>
  </threadedComment>
  <threadedComment ref="A37" dT="2024-10-14T20:33:53.54" personId="{99F38099-A240-49C9-8699-996C0D1FFBDB}" id="{A14E2391-7E41-4A35-BDC5-FA80311C788F}">
    <text>È lo Studio a gestire i passaggi.
1. devono avere il registro, va compilato in fase di ritiro
2. inizialmente 3 ROT (bidoni) che poi diventano 5
3. x il passaggio x ritiro: ALMENO 2 rot pieni + spore (ctrl autoclavi)</text>
  </threadedComment>
  <threadedComment ref="A41" dT="2024-10-12T10:44:37.75" personId="{99F38099-A240-49C9-8699-996C0D1FFBDB}" id="{747419CA-4163-4DD7-B9A0-FBD871F81339}">
    <text>Roberta Giuliano - uff. amm.
r.giuliano@cristalgroup.it
Grazia Colombo - uff. comm. 
commerciale@cristalcooperativa.it
Via M. Buonarroti, 7 - Castellanza
Tel           0331 48 10 14</text>
    <extLst>
      <x:ext xmlns:xltc2="http://schemas.microsoft.com/office/spreadsheetml/2020/threadedcomments2" uri="{F7C98A9C-CBB3-438F-8F68-D28B6AF4A901}">
        <xltc2:checksum>2239440352</xltc2:checksum>
        <xltc2:hyperlink startIndex="29" length="26" url="mailto:r.giuliano@cristalgroup.it"/>
        <xltc2:hyperlink startIndex="86" length="33" url="mailto:commerciale@cristalcooperativa.it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ocumenti@medicolavoro.org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9055C-23B1-47C1-9C84-B69AC13ABD75}">
  <dimension ref="A1:I62"/>
  <sheetViews>
    <sheetView tabSelected="1" topLeftCell="A17" workbookViewId="0">
      <selection activeCell="B56" sqref="B41:B56"/>
    </sheetView>
  </sheetViews>
  <sheetFormatPr baseColWidth="10" defaultColWidth="8.6640625" defaultRowHeight="15.5" customHeight="1" x14ac:dyDescent="0.2"/>
  <cols>
    <col min="1" max="1" width="77.33203125" style="17" bestFit="1" customWidth="1"/>
    <col min="2" max="2" width="37.6640625" style="11" bestFit="1" customWidth="1"/>
    <col min="3" max="3" width="20.6640625" style="1" customWidth="1"/>
    <col min="4" max="4" width="14.6640625" style="17" customWidth="1"/>
    <col min="5" max="5" width="33.1640625" style="17" bestFit="1" customWidth="1"/>
    <col min="6" max="6" width="8.6640625" style="17"/>
    <col min="7" max="7" width="13.6640625" style="17" customWidth="1"/>
    <col min="8" max="8" width="44" style="1" customWidth="1"/>
    <col min="9" max="9" width="9.5" style="17" bestFit="1" customWidth="1"/>
    <col min="10" max="16384" width="8.6640625" style="17"/>
  </cols>
  <sheetData>
    <row r="1" spans="1:9" s="2" customFormat="1" ht="15.5" customHeight="1" x14ac:dyDescent="0.2">
      <c r="A1" s="12" t="s">
        <v>0</v>
      </c>
      <c r="B1" s="12" t="s">
        <v>1</v>
      </c>
      <c r="C1" s="12" t="s">
        <v>2</v>
      </c>
      <c r="D1" s="13" t="s">
        <v>3</v>
      </c>
    </row>
    <row r="2" spans="1:9" s="2" customFormat="1" ht="15.5" customHeight="1" x14ac:dyDescent="0.2">
      <c r="A2" s="15" t="s">
        <v>124</v>
      </c>
      <c r="B2" s="23"/>
      <c r="C2" s="4" t="s">
        <v>125</v>
      </c>
      <c r="D2" s="16" t="b">
        <v>0</v>
      </c>
    </row>
    <row r="3" spans="1:9" s="2" customFormat="1" ht="15.5" customHeight="1" x14ac:dyDescent="0.2">
      <c r="A3" s="15" t="s">
        <v>126</v>
      </c>
      <c r="B3" s="23"/>
      <c r="C3" s="4" t="s">
        <v>125</v>
      </c>
      <c r="D3" s="16" t="b">
        <v>0</v>
      </c>
    </row>
    <row r="4" spans="1:9" s="2" customFormat="1" ht="15.5" customHeight="1" x14ac:dyDescent="0.2">
      <c r="A4" s="15" t="s">
        <v>127</v>
      </c>
      <c r="B4" s="23"/>
      <c r="C4" s="4" t="s">
        <v>125</v>
      </c>
      <c r="D4" s="16" t="b">
        <v>0</v>
      </c>
    </row>
    <row r="5" spans="1:9" s="2" customFormat="1" ht="15.5" customHeight="1" x14ac:dyDescent="0.2">
      <c r="A5" s="15" t="s">
        <v>4</v>
      </c>
      <c r="B5" s="23" t="s">
        <v>5</v>
      </c>
      <c r="C5" s="4" t="s">
        <v>52</v>
      </c>
      <c r="D5" s="16" t="b">
        <v>0</v>
      </c>
    </row>
    <row r="6" spans="1:9" ht="15.5" customHeight="1" x14ac:dyDescent="0.2">
      <c r="A6" s="15" t="s">
        <v>6</v>
      </c>
      <c r="B6" s="9" t="s">
        <v>7</v>
      </c>
      <c r="C6" s="4" t="s">
        <v>216</v>
      </c>
      <c r="D6" s="16" t="b">
        <v>0</v>
      </c>
    </row>
    <row r="7" spans="1:9" ht="15.5" customHeight="1" x14ac:dyDescent="0.2">
      <c r="A7" s="15" t="s">
        <v>8</v>
      </c>
      <c r="B7" s="9" t="s">
        <v>7</v>
      </c>
      <c r="C7" s="4" t="s">
        <v>216</v>
      </c>
      <c r="D7" s="16" t="b">
        <v>0</v>
      </c>
    </row>
    <row r="8" spans="1:9" ht="15.5" customHeight="1" x14ac:dyDescent="0.2">
      <c r="A8" s="15" t="s">
        <v>9</v>
      </c>
      <c r="B8" s="9" t="s">
        <v>7</v>
      </c>
      <c r="C8" s="4" t="s">
        <v>216</v>
      </c>
      <c r="D8" s="16" t="b">
        <v>0</v>
      </c>
    </row>
    <row r="9" spans="1:9" ht="15.5" customHeight="1" thickBot="1" x14ac:dyDescent="0.25">
      <c r="A9" s="18" t="s">
        <v>10</v>
      </c>
      <c r="B9" s="9" t="s">
        <v>11</v>
      </c>
      <c r="C9" s="4" t="s">
        <v>216</v>
      </c>
      <c r="D9" s="16" t="b">
        <v>0</v>
      </c>
      <c r="I9" s="100" t="b">
        <v>0</v>
      </c>
    </row>
    <row r="10" spans="1:9" ht="15.5" customHeight="1" thickBot="1" x14ac:dyDescent="0.25">
      <c r="A10" s="15" t="s">
        <v>12</v>
      </c>
      <c r="B10" s="9" t="s">
        <v>13</v>
      </c>
      <c r="C10" s="5"/>
      <c r="D10" s="16" t="b">
        <v>0</v>
      </c>
      <c r="E10" s="14" t="s">
        <v>14</v>
      </c>
      <c r="I10" s="100"/>
    </row>
    <row r="11" spans="1:9" ht="15.5" customHeight="1" x14ac:dyDescent="0.2">
      <c r="A11" s="15" t="s">
        <v>15</v>
      </c>
      <c r="B11" s="9" t="s">
        <v>16</v>
      </c>
      <c r="C11" s="4"/>
      <c r="D11" s="16" t="b">
        <v>0</v>
      </c>
    </row>
    <row r="12" spans="1:9" ht="104" x14ac:dyDescent="0.2">
      <c r="A12" s="24" t="s">
        <v>17</v>
      </c>
      <c r="B12" s="9"/>
      <c r="C12" s="4"/>
      <c r="D12" s="16" t="b">
        <v>0</v>
      </c>
    </row>
    <row r="13" spans="1:9" ht="26" x14ac:dyDescent="0.2">
      <c r="A13" s="15" t="s">
        <v>18</v>
      </c>
      <c r="B13" s="10" t="s">
        <v>19</v>
      </c>
      <c r="C13" s="4" t="s">
        <v>20</v>
      </c>
      <c r="D13" s="16" t="b">
        <v>0</v>
      </c>
    </row>
    <row r="14" spans="1:9" ht="15.5" customHeight="1" x14ac:dyDescent="0.2">
      <c r="A14" s="15" t="s">
        <v>21</v>
      </c>
      <c r="B14" s="9"/>
      <c r="C14" s="4"/>
      <c r="D14" s="19" t="b">
        <v>0</v>
      </c>
      <c r="E14" s="20"/>
    </row>
    <row r="15" spans="1:9" ht="15.5" customHeight="1" x14ac:dyDescent="0.2">
      <c r="A15" s="15" t="s">
        <v>22</v>
      </c>
      <c r="B15" s="9"/>
      <c r="C15" s="4"/>
      <c r="D15" s="19" t="b">
        <v>0</v>
      </c>
      <c r="E15" s="20"/>
    </row>
    <row r="16" spans="1:9" ht="15.5" customHeight="1" x14ac:dyDescent="0.2">
      <c r="A16" s="15" t="s">
        <v>23</v>
      </c>
      <c r="B16" s="9" t="s">
        <v>24</v>
      </c>
      <c r="C16" s="4" t="s">
        <v>216</v>
      </c>
      <c r="D16" s="19" t="b">
        <v>0</v>
      </c>
      <c r="E16" s="20"/>
    </row>
    <row r="17" spans="1:7" ht="15.5" customHeight="1" x14ac:dyDescent="0.2">
      <c r="A17" s="17" t="s">
        <v>25</v>
      </c>
      <c r="B17" s="9"/>
      <c r="C17" s="4" t="s">
        <v>216</v>
      </c>
      <c r="D17" s="19" t="b">
        <v>0</v>
      </c>
      <c r="E17" s="20"/>
    </row>
    <row r="18" spans="1:7" ht="15.5" customHeight="1" x14ac:dyDescent="0.2">
      <c r="A18" s="15" t="s">
        <v>26</v>
      </c>
      <c r="B18" s="9" t="s">
        <v>27</v>
      </c>
      <c r="C18" s="4" t="s">
        <v>216</v>
      </c>
      <c r="D18" s="16" t="b">
        <v>0</v>
      </c>
      <c r="E18" s="21"/>
      <c r="F18" s="22"/>
      <c r="G18" s="22"/>
    </row>
    <row r="19" spans="1:7" ht="15.5" customHeight="1" x14ac:dyDescent="0.2">
      <c r="A19" s="15" t="s">
        <v>28</v>
      </c>
      <c r="B19" s="9" t="s">
        <v>29</v>
      </c>
      <c r="C19" s="4" t="s">
        <v>216</v>
      </c>
      <c r="D19" s="16" t="b">
        <v>0</v>
      </c>
    </row>
    <row r="20" spans="1:7" ht="15.5" customHeight="1" x14ac:dyDescent="0.2">
      <c r="A20" s="9" t="s">
        <v>30</v>
      </c>
      <c r="B20" s="9" t="s">
        <v>31</v>
      </c>
      <c r="C20" s="4" t="s">
        <v>216</v>
      </c>
      <c r="D20" s="16" t="b">
        <v>0</v>
      </c>
    </row>
    <row r="21" spans="1:7" ht="15.5" customHeight="1" x14ac:dyDescent="0.2">
      <c r="A21" s="15" t="s">
        <v>32</v>
      </c>
      <c r="B21" s="9"/>
      <c r="C21" s="4" t="s">
        <v>20</v>
      </c>
      <c r="D21" s="16" t="b">
        <v>0</v>
      </c>
    </row>
    <row r="22" spans="1:7" ht="15.5" customHeight="1" x14ac:dyDescent="0.2">
      <c r="A22" s="15" t="s">
        <v>33</v>
      </c>
      <c r="B22" s="10"/>
      <c r="C22" s="6" t="s">
        <v>34</v>
      </c>
      <c r="D22" s="16" t="b">
        <v>0</v>
      </c>
    </row>
    <row r="23" spans="1:7" ht="15.5" customHeight="1" x14ac:dyDescent="0.2">
      <c r="A23" s="15" t="s">
        <v>35</v>
      </c>
      <c r="B23" s="9"/>
      <c r="C23" s="4"/>
      <c r="D23" s="16" t="b">
        <v>0</v>
      </c>
    </row>
    <row r="24" spans="1:7" ht="15.5" customHeight="1" x14ac:dyDescent="0.2">
      <c r="A24" s="15" t="s">
        <v>36</v>
      </c>
      <c r="B24" s="9"/>
      <c r="C24" s="4"/>
      <c r="D24" s="16" t="b">
        <v>0</v>
      </c>
    </row>
    <row r="25" spans="1:7" ht="15.5" customHeight="1" x14ac:dyDescent="0.2">
      <c r="A25" s="15" t="s">
        <v>37</v>
      </c>
      <c r="B25" s="9"/>
      <c r="C25" s="4"/>
      <c r="D25" s="16" t="b">
        <v>0</v>
      </c>
    </row>
    <row r="26" spans="1:7" ht="15.5" customHeight="1" x14ac:dyDescent="0.2">
      <c r="A26" s="15" t="s">
        <v>38</v>
      </c>
      <c r="B26" s="9"/>
      <c r="C26" s="4"/>
      <c r="D26" s="16" t="b">
        <v>0</v>
      </c>
    </row>
    <row r="27" spans="1:7" ht="15.5" customHeight="1" x14ac:dyDescent="0.2">
      <c r="A27" s="15" t="s">
        <v>39</v>
      </c>
      <c r="B27" s="9"/>
      <c r="C27" s="4"/>
      <c r="D27" s="16" t="b">
        <v>0</v>
      </c>
    </row>
    <row r="28" spans="1:7" ht="15.5" customHeight="1" x14ac:dyDescent="0.2">
      <c r="A28" s="15" t="s">
        <v>40</v>
      </c>
      <c r="B28" s="9"/>
      <c r="C28" s="4"/>
      <c r="D28" s="16" t="b">
        <v>0</v>
      </c>
    </row>
    <row r="29" spans="1:7" ht="15.5" customHeight="1" x14ac:dyDescent="0.2">
      <c r="A29" s="15" t="s">
        <v>41</v>
      </c>
      <c r="B29" s="9"/>
      <c r="C29" s="4"/>
      <c r="D29" s="16" t="b">
        <v>0</v>
      </c>
    </row>
    <row r="30" spans="1:7" ht="15.5" customHeight="1" x14ac:dyDescent="0.2">
      <c r="A30" s="15" t="s">
        <v>42</v>
      </c>
      <c r="B30" s="9"/>
      <c r="C30" s="4"/>
      <c r="D30" s="16" t="b">
        <v>0</v>
      </c>
    </row>
    <row r="31" spans="1:7" ht="15.5" customHeight="1" x14ac:dyDescent="0.2">
      <c r="A31" s="15" t="s">
        <v>43</v>
      </c>
      <c r="B31" s="9"/>
      <c r="C31" s="4"/>
      <c r="D31" s="16" t="b">
        <v>0</v>
      </c>
    </row>
    <row r="32" spans="1:7" ht="15.5" customHeight="1" x14ac:dyDescent="0.2">
      <c r="A32" s="15" t="s">
        <v>44</v>
      </c>
      <c r="B32" s="9"/>
      <c r="C32" s="4"/>
      <c r="D32" s="16" t="b">
        <v>0</v>
      </c>
    </row>
    <row r="33" spans="1:4" ht="15.5" customHeight="1" x14ac:dyDescent="0.2">
      <c r="A33" s="15" t="s">
        <v>45</v>
      </c>
      <c r="B33" s="9"/>
      <c r="C33" s="4"/>
      <c r="D33" s="16" t="b">
        <v>0</v>
      </c>
    </row>
    <row r="34" spans="1:4" ht="15.5" customHeight="1" x14ac:dyDescent="0.2">
      <c r="A34" s="15" t="s">
        <v>46</v>
      </c>
      <c r="B34" s="9"/>
      <c r="C34" s="4"/>
      <c r="D34" s="16" t="b">
        <v>0</v>
      </c>
    </row>
    <row r="35" spans="1:4" ht="15.5" customHeight="1" x14ac:dyDescent="0.2">
      <c r="A35" s="15" t="s">
        <v>47</v>
      </c>
      <c r="B35" s="9"/>
      <c r="C35" s="4"/>
      <c r="D35" s="16" t="b">
        <v>0</v>
      </c>
    </row>
    <row r="36" spans="1:4" ht="15.5" customHeight="1" x14ac:dyDescent="0.2">
      <c r="A36" s="15" t="s">
        <v>48</v>
      </c>
      <c r="B36" s="9" t="s">
        <v>49</v>
      </c>
      <c r="C36" s="4"/>
      <c r="D36" s="16" t="b">
        <v>0</v>
      </c>
    </row>
    <row r="37" spans="1:4" ht="15.5" customHeight="1" x14ac:dyDescent="0.2">
      <c r="A37" s="15" t="s">
        <v>50</v>
      </c>
      <c r="B37" s="9" t="s">
        <v>51</v>
      </c>
      <c r="C37" s="4" t="s">
        <v>52</v>
      </c>
      <c r="D37" s="16" t="b">
        <v>0</v>
      </c>
    </row>
    <row r="38" spans="1:4" ht="15.5" customHeight="1" x14ac:dyDescent="0.2">
      <c r="A38" s="15" t="s">
        <v>53</v>
      </c>
      <c r="B38" s="9" t="s">
        <v>51</v>
      </c>
      <c r="C38" s="4" t="s">
        <v>20</v>
      </c>
      <c r="D38" s="16" t="b">
        <v>0</v>
      </c>
    </row>
    <row r="39" spans="1:4" ht="15.5" customHeight="1" x14ac:dyDescent="0.2">
      <c r="A39" s="15" t="s">
        <v>54</v>
      </c>
      <c r="B39" s="9"/>
      <c r="C39" s="4" t="s">
        <v>20</v>
      </c>
      <c r="D39" s="16" t="b">
        <v>0</v>
      </c>
    </row>
    <row r="40" spans="1:4" ht="15.5" customHeight="1" x14ac:dyDescent="0.2">
      <c r="A40" s="15" t="s">
        <v>130</v>
      </c>
      <c r="B40" s="9"/>
      <c r="C40" s="4" t="s">
        <v>52</v>
      </c>
      <c r="D40" s="16" t="b">
        <v>0</v>
      </c>
    </row>
    <row r="41" spans="1:4" ht="15.5" customHeight="1" x14ac:dyDescent="0.2">
      <c r="A41" s="15" t="s">
        <v>128</v>
      </c>
      <c r="B41" s="9"/>
      <c r="C41" s="4" t="s">
        <v>52</v>
      </c>
      <c r="D41" s="16" t="b">
        <v>0</v>
      </c>
    </row>
    <row r="42" spans="1:4" ht="15.5" customHeight="1" x14ac:dyDescent="0.2">
      <c r="A42" s="15" t="s">
        <v>129</v>
      </c>
      <c r="B42" s="9"/>
      <c r="C42" s="4" t="s">
        <v>52</v>
      </c>
      <c r="D42" s="16" t="b">
        <v>0</v>
      </c>
    </row>
    <row r="43" spans="1:4" ht="15.5" customHeight="1" x14ac:dyDescent="0.2">
      <c r="A43" s="15" t="s">
        <v>55</v>
      </c>
      <c r="B43" s="9"/>
      <c r="C43" s="4" t="s">
        <v>52</v>
      </c>
      <c r="D43" s="16" t="b">
        <v>0</v>
      </c>
    </row>
    <row r="44" spans="1:4" ht="15.5" customHeight="1" x14ac:dyDescent="0.2">
      <c r="A44" s="15" t="s">
        <v>56</v>
      </c>
      <c r="B44" s="9"/>
      <c r="C44" s="4" t="s">
        <v>52</v>
      </c>
      <c r="D44" s="16" t="b">
        <v>0</v>
      </c>
    </row>
    <row r="45" spans="1:4" ht="15.5" customHeight="1" x14ac:dyDescent="0.2">
      <c r="A45" s="15" t="s">
        <v>123</v>
      </c>
      <c r="B45" s="9"/>
      <c r="C45" s="4" t="s">
        <v>52</v>
      </c>
      <c r="D45" s="16" t="b">
        <v>0</v>
      </c>
    </row>
    <row r="46" spans="1:4" ht="26" x14ac:dyDescent="0.2">
      <c r="A46" s="15" t="s">
        <v>57</v>
      </c>
      <c r="B46" s="10" t="s">
        <v>58</v>
      </c>
      <c r="C46" s="4" t="s">
        <v>52</v>
      </c>
      <c r="D46" s="16" t="b">
        <v>0</v>
      </c>
    </row>
    <row r="47" spans="1:4" ht="15.5" customHeight="1" x14ac:dyDescent="0.2">
      <c r="A47" s="15" t="s">
        <v>59</v>
      </c>
      <c r="B47" s="9"/>
      <c r="C47" s="4" t="s">
        <v>52</v>
      </c>
      <c r="D47" s="16" t="b">
        <v>0</v>
      </c>
    </row>
    <row r="48" spans="1:4" ht="15.5" customHeight="1" x14ac:dyDescent="0.2">
      <c r="A48" s="15" t="s">
        <v>60</v>
      </c>
      <c r="B48" s="9"/>
      <c r="C48" s="4" t="s">
        <v>61</v>
      </c>
      <c r="D48" s="16" t="b">
        <v>0</v>
      </c>
    </row>
    <row r="49" spans="1:8" ht="15.5" customHeight="1" x14ac:dyDescent="0.2">
      <c r="A49" s="15" t="s">
        <v>62</v>
      </c>
      <c r="B49" s="9"/>
      <c r="C49" s="4" t="s">
        <v>20</v>
      </c>
      <c r="D49" s="16" t="b">
        <v>0</v>
      </c>
    </row>
    <row r="50" spans="1:8" ht="15.5" customHeight="1" x14ac:dyDescent="0.2">
      <c r="A50" s="15" t="s">
        <v>63</v>
      </c>
      <c r="B50" s="9"/>
      <c r="C50" s="4" t="s">
        <v>122</v>
      </c>
      <c r="D50" s="16" t="b">
        <v>0</v>
      </c>
    </row>
    <row r="51" spans="1:8" ht="15.5" customHeight="1" x14ac:dyDescent="0.2">
      <c r="A51" s="15" t="s">
        <v>64</v>
      </c>
      <c r="B51" s="9"/>
      <c r="C51" s="4"/>
      <c r="D51" s="16" t="b">
        <v>0</v>
      </c>
    </row>
    <row r="52" spans="1:8" ht="15.5" customHeight="1" x14ac:dyDescent="0.2">
      <c r="A52" s="15" t="s">
        <v>65</v>
      </c>
      <c r="B52" s="15" t="s">
        <v>66</v>
      </c>
      <c r="C52" s="15"/>
      <c r="D52" s="16" t="b">
        <v>0</v>
      </c>
      <c r="H52" s="17"/>
    </row>
    <row r="53" spans="1:8" ht="15.5" customHeight="1" x14ac:dyDescent="0.2">
      <c r="A53" s="15" t="s">
        <v>67</v>
      </c>
      <c r="B53" s="15" t="s">
        <v>68</v>
      </c>
      <c r="C53" s="15"/>
      <c r="D53" s="16" t="b">
        <v>0</v>
      </c>
    </row>
    <row r="54" spans="1:8" ht="15.5" customHeight="1" x14ac:dyDescent="0.2">
      <c r="A54" s="15" t="s">
        <v>69</v>
      </c>
      <c r="B54" s="15" t="s">
        <v>70</v>
      </c>
      <c r="C54" s="15"/>
      <c r="D54" s="16" t="b">
        <v>0</v>
      </c>
    </row>
    <row r="55" spans="1:8" ht="15.5" customHeight="1" x14ac:dyDescent="0.2">
      <c r="A55" s="15" t="s">
        <v>71</v>
      </c>
      <c r="B55" s="15" t="s">
        <v>72</v>
      </c>
      <c r="C55" s="4" t="s">
        <v>73</v>
      </c>
      <c r="D55" s="16" t="b">
        <v>0</v>
      </c>
    </row>
    <row r="56" spans="1:8" ht="15.5" customHeight="1" x14ac:dyDescent="0.2">
      <c r="A56" s="15" t="s">
        <v>131</v>
      </c>
      <c r="B56" s="15"/>
      <c r="C56" s="4" t="s">
        <v>150</v>
      </c>
      <c r="D56" s="16" t="b">
        <v>0</v>
      </c>
    </row>
    <row r="58" spans="1:8" ht="15.5" customHeight="1" x14ac:dyDescent="0.2">
      <c r="G58" s="1"/>
      <c r="H58" s="17"/>
    </row>
    <row r="59" spans="1:8" ht="15.5" customHeight="1" x14ac:dyDescent="0.2">
      <c r="G59" s="1"/>
      <c r="H59" s="17"/>
    </row>
    <row r="60" spans="1:8" ht="15.5" customHeight="1" x14ac:dyDescent="0.2">
      <c r="G60" s="1"/>
      <c r="H60" s="17"/>
    </row>
    <row r="61" spans="1:8" ht="15.5" customHeight="1" x14ac:dyDescent="0.2">
      <c r="G61" s="1"/>
      <c r="H61" s="17"/>
    </row>
    <row r="62" spans="1:8" ht="15.5" customHeight="1" x14ac:dyDescent="0.2">
      <c r="G62" s="1"/>
      <c r="H62" s="17"/>
    </row>
  </sheetData>
  <mergeCells count="1">
    <mergeCell ref="I9:I10"/>
  </mergeCells>
  <hyperlinks>
    <hyperlink ref="B5" r:id="rId1" xr:uid="{2056AEFE-3093-4EAA-A1E6-7B480B2EB6BB}"/>
  </hyperlinks>
  <pageMargins left="0.7" right="0.7" top="0.75" bottom="0.75" header="0.3" footer="0.3"/>
  <pageSetup paperSize="9" orientation="portrait" r:id="rId2"/>
  <headerFooter>
    <oddFooter>&amp;C_x000D_&amp;1#&amp;"Aptos"&amp;10&amp;K000000 This document is classified as EOLO - C2 General</oddFooter>
  </headerFooter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15A8A-C0C1-4836-9AFD-C2C91AC6D38C}">
  <sheetPr codeName="Foglio7"/>
  <dimension ref="B4:W28"/>
  <sheetViews>
    <sheetView zoomScale="90" zoomScaleNormal="90" workbookViewId="0">
      <selection activeCell="M9" sqref="M9"/>
    </sheetView>
  </sheetViews>
  <sheetFormatPr baseColWidth="10" defaultColWidth="8.6640625" defaultRowHeight="15" x14ac:dyDescent="0.2"/>
  <cols>
    <col min="2" max="2" width="12.6640625" customWidth="1"/>
    <col min="4" max="4" width="13.6640625" customWidth="1"/>
    <col min="6" max="6" width="11.33203125" customWidth="1"/>
    <col min="10" max="10" width="17.6640625" customWidth="1"/>
    <col min="18" max="18" width="11.1640625" bestFit="1" customWidth="1"/>
  </cols>
  <sheetData>
    <row r="4" spans="2:23" x14ac:dyDescent="0.2">
      <c r="R4" s="73">
        <f ca="1">TODAY()</f>
        <v>46146</v>
      </c>
    </row>
    <row r="14" spans="2:23" s="7" customFormat="1" ht="19" x14ac:dyDescent="0.2">
      <c r="B14" s="71" t="s">
        <v>87</v>
      </c>
      <c r="C14" s="95" t="s">
        <v>88</v>
      </c>
      <c r="D14" s="95"/>
      <c r="E14" s="105" t="s">
        <v>89</v>
      </c>
      <c r="F14" s="105"/>
      <c r="G14" s="97" t="s">
        <v>90</v>
      </c>
      <c r="H14" s="97"/>
      <c r="I14" s="97"/>
      <c r="J14" s="97"/>
      <c r="K14" s="95" t="s">
        <v>91</v>
      </c>
      <c r="L14" s="95"/>
      <c r="M14" s="95"/>
      <c r="N14" s="95"/>
      <c r="O14" s="95"/>
      <c r="P14" s="95"/>
      <c r="Q14" s="95"/>
      <c r="R14" s="95"/>
      <c r="S14" s="95"/>
      <c r="W14" s="1"/>
    </row>
    <row r="15" spans="2:23" s="7" customFormat="1" ht="24" customHeight="1" x14ac:dyDescent="0.2">
      <c r="B15" s="8" t="s">
        <v>74</v>
      </c>
      <c r="C15" s="101">
        <v>46054</v>
      </c>
      <c r="D15" s="102"/>
      <c r="E15" s="89" t="b">
        <v>1</v>
      </c>
      <c r="F15" s="89"/>
      <c r="G15" s="90">
        <v>46235</v>
      </c>
      <c r="H15" s="91"/>
      <c r="I15" s="91"/>
      <c r="J15" s="92"/>
      <c r="K15" s="93" t="s">
        <v>217</v>
      </c>
      <c r="L15" s="94"/>
      <c r="M15" s="94"/>
      <c r="N15" s="94"/>
      <c r="O15" s="94"/>
      <c r="P15" s="94"/>
      <c r="Q15" s="94"/>
      <c r="R15" s="94"/>
      <c r="S15" s="94"/>
      <c r="W15" s="1"/>
    </row>
    <row r="16" spans="2:23" s="7" customFormat="1" ht="24" customHeight="1" x14ac:dyDescent="0.2">
      <c r="B16" s="8" t="s">
        <v>75</v>
      </c>
      <c r="C16" s="101">
        <v>46023</v>
      </c>
      <c r="D16" s="102"/>
      <c r="E16" s="89" t="b">
        <v>1</v>
      </c>
      <c r="F16" s="89"/>
      <c r="G16" s="90">
        <v>46204</v>
      </c>
      <c r="H16" s="91"/>
      <c r="I16" s="91"/>
      <c r="J16" s="92"/>
      <c r="K16" s="93" t="s">
        <v>221</v>
      </c>
      <c r="L16" s="94"/>
      <c r="M16" s="94"/>
      <c r="N16" s="94"/>
      <c r="O16" s="94"/>
      <c r="P16" s="94"/>
      <c r="Q16" s="94"/>
      <c r="R16" s="94"/>
      <c r="S16" s="94"/>
      <c r="W16" s="1"/>
    </row>
    <row r="17" spans="2:23" s="7" customFormat="1" ht="24" customHeight="1" x14ac:dyDescent="0.2">
      <c r="B17" s="8" t="s">
        <v>76</v>
      </c>
      <c r="C17" s="101">
        <v>46023</v>
      </c>
      <c r="D17" s="102"/>
      <c r="E17" s="89" t="b">
        <v>1</v>
      </c>
      <c r="F17" s="89"/>
      <c r="G17" s="90">
        <v>46204</v>
      </c>
      <c r="H17" s="91"/>
      <c r="I17" s="91"/>
      <c r="J17" s="92"/>
      <c r="K17" s="93" t="s">
        <v>166</v>
      </c>
      <c r="L17" s="94"/>
      <c r="M17" s="94"/>
      <c r="N17" s="94"/>
      <c r="O17" s="94"/>
      <c r="P17" s="94"/>
      <c r="Q17" s="94"/>
      <c r="R17" s="94"/>
      <c r="S17" s="94"/>
      <c r="W17" s="1"/>
    </row>
    <row r="18" spans="2:23" s="7" customFormat="1" ht="24" customHeight="1" x14ac:dyDescent="0.2">
      <c r="B18" s="8" t="s">
        <v>77</v>
      </c>
      <c r="C18" s="101">
        <v>46023</v>
      </c>
      <c r="D18" s="102"/>
      <c r="E18" s="89" t="b">
        <v>1</v>
      </c>
      <c r="F18" s="89"/>
      <c r="G18" s="90">
        <v>46204</v>
      </c>
      <c r="H18" s="91"/>
      <c r="I18" s="91"/>
      <c r="J18" s="92"/>
      <c r="K18" s="93" t="s">
        <v>222</v>
      </c>
      <c r="L18" s="94"/>
      <c r="M18" s="94"/>
      <c r="N18" s="94"/>
      <c r="O18" s="94"/>
      <c r="P18" s="94"/>
      <c r="Q18" s="94"/>
      <c r="R18" s="94"/>
      <c r="S18" s="94"/>
      <c r="W18" s="1"/>
    </row>
    <row r="19" spans="2:23" s="7" customFormat="1" ht="24" customHeight="1" x14ac:dyDescent="0.2">
      <c r="B19" s="8" t="s">
        <v>92</v>
      </c>
      <c r="C19" s="101">
        <v>46023</v>
      </c>
      <c r="D19" s="102"/>
      <c r="E19" s="89" t="b">
        <v>1</v>
      </c>
      <c r="F19" s="89"/>
      <c r="G19" s="90">
        <v>46204</v>
      </c>
      <c r="H19" s="91"/>
      <c r="I19" s="91"/>
      <c r="J19" s="92"/>
      <c r="K19" s="93" t="s">
        <v>223</v>
      </c>
      <c r="L19" s="94"/>
      <c r="M19" s="94"/>
      <c r="N19" s="94"/>
      <c r="O19" s="94"/>
      <c r="P19" s="94"/>
      <c r="Q19" s="94"/>
      <c r="R19" s="94"/>
      <c r="S19" s="94"/>
    </row>
    <row r="20" spans="2:23" s="7" customFormat="1" ht="24" customHeight="1" x14ac:dyDescent="0.2">
      <c r="B20" s="8" t="s">
        <v>79</v>
      </c>
      <c r="C20" s="103">
        <v>45717</v>
      </c>
      <c r="D20" s="104"/>
      <c r="E20" s="89" t="b">
        <v>1</v>
      </c>
      <c r="F20" s="89"/>
      <c r="G20" s="90">
        <v>46266</v>
      </c>
      <c r="H20" s="91"/>
      <c r="I20" s="91"/>
      <c r="J20" s="92"/>
      <c r="K20" s="93" t="s">
        <v>218</v>
      </c>
      <c r="L20" s="94"/>
      <c r="M20" s="94"/>
      <c r="N20" s="94"/>
      <c r="O20" s="94"/>
      <c r="P20" s="94"/>
      <c r="Q20" s="94"/>
      <c r="R20" s="94"/>
      <c r="S20" s="94"/>
    </row>
    <row r="21" spans="2:23" s="7" customFormat="1" ht="24" customHeight="1" x14ac:dyDescent="0.2">
      <c r="B21" s="8" t="s">
        <v>80</v>
      </c>
      <c r="C21" s="103">
        <v>45717</v>
      </c>
      <c r="D21" s="104"/>
      <c r="E21" s="89" t="b">
        <v>1</v>
      </c>
      <c r="F21" s="89"/>
      <c r="G21" s="90">
        <v>46266</v>
      </c>
      <c r="H21" s="91"/>
      <c r="I21" s="91"/>
      <c r="J21" s="92"/>
      <c r="K21" s="93" t="s">
        <v>218</v>
      </c>
      <c r="L21" s="94"/>
      <c r="M21" s="94"/>
      <c r="N21" s="94"/>
      <c r="O21" s="94"/>
      <c r="P21" s="94"/>
      <c r="Q21" s="94"/>
      <c r="R21" s="94"/>
      <c r="S21" s="94"/>
    </row>
    <row r="22" spans="2:23" s="7" customFormat="1" ht="24" customHeight="1" x14ac:dyDescent="0.2">
      <c r="B22" s="8" t="s">
        <v>81</v>
      </c>
      <c r="C22" s="101">
        <v>46023</v>
      </c>
      <c r="D22" s="102"/>
      <c r="E22" s="89" t="b">
        <v>1</v>
      </c>
      <c r="F22" s="89"/>
      <c r="G22" s="90">
        <v>46204</v>
      </c>
      <c r="H22" s="91"/>
      <c r="I22" s="91"/>
      <c r="J22" s="92"/>
      <c r="K22" s="93" t="s">
        <v>224</v>
      </c>
      <c r="L22" s="94"/>
      <c r="M22" s="94"/>
      <c r="N22" s="94"/>
      <c r="O22" s="94"/>
      <c r="P22" s="94"/>
      <c r="Q22" s="94"/>
      <c r="R22" s="94"/>
      <c r="S22" s="94"/>
    </row>
    <row r="23" spans="2:23" s="7" customFormat="1" ht="24" customHeight="1" x14ac:dyDescent="0.2">
      <c r="B23" s="8" t="s">
        <v>82</v>
      </c>
      <c r="C23" s="103">
        <v>46082</v>
      </c>
      <c r="D23" s="104"/>
      <c r="E23" s="89" t="b">
        <v>1</v>
      </c>
      <c r="F23" s="89"/>
      <c r="G23" s="90">
        <v>46266</v>
      </c>
      <c r="H23" s="91"/>
      <c r="I23" s="91"/>
      <c r="J23" s="92"/>
      <c r="K23" s="93" t="s">
        <v>219</v>
      </c>
      <c r="L23" s="94"/>
      <c r="M23" s="94"/>
      <c r="N23" s="94"/>
      <c r="O23" s="94"/>
      <c r="P23" s="94"/>
      <c r="Q23" s="94"/>
      <c r="R23" s="94"/>
      <c r="S23" s="94"/>
    </row>
    <row r="24" spans="2:23" s="7" customFormat="1" ht="24" customHeight="1" x14ac:dyDescent="0.2">
      <c r="B24" s="8" t="s">
        <v>83</v>
      </c>
      <c r="C24" s="101">
        <v>46082</v>
      </c>
      <c r="D24" s="102"/>
      <c r="E24" s="89" t="b">
        <v>1</v>
      </c>
      <c r="F24" s="89"/>
      <c r="G24" s="90">
        <v>46266</v>
      </c>
      <c r="H24" s="91"/>
      <c r="I24" s="91"/>
      <c r="J24" s="92"/>
      <c r="K24" s="93" t="s">
        <v>219</v>
      </c>
      <c r="L24" s="94"/>
      <c r="M24" s="94"/>
      <c r="N24" s="94"/>
      <c r="O24" s="94"/>
      <c r="P24" s="94"/>
      <c r="Q24" s="94"/>
      <c r="R24" s="94"/>
      <c r="S24" s="94"/>
    </row>
    <row r="25" spans="2:23" ht="22" x14ac:dyDescent="0.2">
      <c r="B25" s="8" t="s">
        <v>84</v>
      </c>
      <c r="C25" s="101">
        <v>46023</v>
      </c>
      <c r="D25" s="102"/>
      <c r="E25" s="89" t="b">
        <v>1</v>
      </c>
      <c r="F25" s="89"/>
      <c r="G25" s="90">
        <v>46204</v>
      </c>
      <c r="H25" s="91"/>
      <c r="I25" s="91"/>
      <c r="J25" s="92"/>
      <c r="K25" s="93" t="s">
        <v>225</v>
      </c>
      <c r="L25" s="94"/>
      <c r="M25" s="94"/>
      <c r="N25" s="94"/>
      <c r="O25" s="94"/>
      <c r="P25" s="94"/>
      <c r="Q25" s="94"/>
      <c r="R25" s="94"/>
      <c r="S25" s="94"/>
    </row>
    <row r="26" spans="2:23" ht="22" x14ac:dyDescent="0.2">
      <c r="B26" s="8" t="s">
        <v>85</v>
      </c>
      <c r="C26" s="101">
        <v>46082</v>
      </c>
      <c r="D26" s="102"/>
      <c r="E26" s="89" t="b">
        <v>1</v>
      </c>
      <c r="F26" s="89"/>
      <c r="G26" s="90">
        <v>46266</v>
      </c>
      <c r="H26" s="91"/>
      <c r="I26" s="91"/>
      <c r="J26" s="92"/>
      <c r="K26" s="93" t="s">
        <v>218</v>
      </c>
      <c r="L26" s="94"/>
      <c r="M26" s="94"/>
      <c r="N26" s="94"/>
      <c r="O26" s="94"/>
      <c r="P26" s="94"/>
      <c r="Q26" s="94"/>
      <c r="R26" s="94"/>
      <c r="S26" s="94"/>
    </row>
    <row r="27" spans="2:23" ht="22" x14ac:dyDescent="0.2">
      <c r="B27" s="8" t="s">
        <v>86</v>
      </c>
      <c r="C27" s="101">
        <v>45992</v>
      </c>
      <c r="D27" s="102"/>
      <c r="E27" s="89" t="b">
        <v>1</v>
      </c>
      <c r="F27" s="89"/>
      <c r="G27" s="90">
        <v>46174</v>
      </c>
      <c r="H27" s="91"/>
      <c r="I27" s="91"/>
      <c r="J27" s="92"/>
      <c r="K27" s="93" t="s">
        <v>220</v>
      </c>
      <c r="L27" s="94"/>
      <c r="M27" s="94"/>
      <c r="N27" s="94"/>
      <c r="O27" s="94"/>
      <c r="P27" s="94"/>
      <c r="Q27" s="94"/>
      <c r="R27" s="94"/>
      <c r="S27" s="94"/>
    </row>
    <row r="28" spans="2:23" ht="22" x14ac:dyDescent="0.2">
      <c r="B28" s="8" t="s">
        <v>136</v>
      </c>
      <c r="C28" s="101">
        <v>46113</v>
      </c>
      <c r="D28" s="102"/>
      <c r="E28" s="89" t="b">
        <v>1</v>
      </c>
      <c r="F28" s="89"/>
      <c r="G28" s="90">
        <v>46296</v>
      </c>
      <c r="H28" s="91"/>
      <c r="I28" s="91"/>
      <c r="J28" s="92"/>
      <c r="K28" s="93" t="s">
        <v>232</v>
      </c>
      <c r="L28" s="94"/>
      <c r="M28" s="94"/>
      <c r="N28" s="94"/>
      <c r="O28" s="94"/>
      <c r="P28" s="94"/>
      <c r="Q28" s="94"/>
      <c r="R28" s="94"/>
      <c r="S28" s="94"/>
    </row>
  </sheetData>
  <mergeCells count="60">
    <mergeCell ref="K28:S28"/>
    <mergeCell ref="C28:D28"/>
    <mergeCell ref="E28:F28"/>
    <mergeCell ref="G28:J28"/>
    <mergeCell ref="K19:S19"/>
    <mergeCell ref="K20:S20"/>
    <mergeCell ref="K21:S21"/>
    <mergeCell ref="K22:S22"/>
    <mergeCell ref="K23:S23"/>
    <mergeCell ref="K24:S24"/>
    <mergeCell ref="G20:J20"/>
    <mergeCell ref="G21:J21"/>
    <mergeCell ref="G22:J22"/>
    <mergeCell ref="G23:J23"/>
    <mergeCell ref="G24:J24"/>
    <mergeCell ref="G19:J19"/>
    <mergeCell ref="E19:F19"/>
    <mergeCell ref="K14:S14"/>
    <mergeCell ref="K15:S15"/>
    <mergeCell ref="K16:S16"/>
    <mergeCell ref="K17:S17"/>
    <mergeCell ref="K18:S18"/>
    <mergeCell ref="G14:J14"/>
    <mergeCell ref="G15:J15"/>
    <mergeCell ref="G16:J16"/>
    <mergeCell ref="G17:J17"/>
    <mergeCell ref="G18:J18"/>
    <mergeCell ref="E14:F14"/>
    <mergeCell ref="E15:F15"/>
    <mergeCell ref="E16:F16"/>
    <mergeCell ref="E17:F17"/>
    <mergeCell ref="E18:F18"/>
    <mergeCell ref="E20:F20"/>
    <mergeCell ref="E21:F21"/>
    <mergeCell ref="E22:F22"/>
    <mergeCell ref="E23:F23"/>
    <mergeCell ref="E24:F24"/>
    <mergeCell ref="C20:D20"/>
    <mergeCell ref="C21:D21"/>
    <mergeCell ref="C22:D22"/>
    <mergeCell ref="C23:D23"/>
    <mergeCell ref="C24:D24"/>
    <mergeCell ref="C19:D19"/>
    <mergeCell ref="C14:D14"/>
    <mergeCell ref="C15:D15"/>
    <mergeCell ref="C16:D16"/>
    <mergeCell ref="C17:D17"/>
    <mergeCell ref="C18:D18"/>
    <mergeCell ref="C27:D27"/>
    <mergeCell ref="E27:F27"/>
    <mergeCell ref="G27:J27"/>
    <mergeCell ref="K27:S27"/>
    <mergeCell ref="C25:D25"/>
    <mergeCell ref="E25:F25"/>
    <mergeCell ref="G25:J25"/>
    <mergeCell ref="K25:S25"/>
    <mergeCell ref="C26:D26"/>
    <mergeCell ref="E26:F26"/>
    <mergeCell ref="G26:J26"/>
    <mergeCell ref="K26:S26"/>
  </mergeCells>
  <conditionalFormatting sqref="G15:G28">
    <cfRule type="cellIs" dxfId="30" priority="21" operator="greaterThanOrEqual">
      <formula>$R$4</formula>
    </cfRule>
    <cfRule type="cellIs" dxfId="29" priority="22" operator="lessThanOrEqual">
      <formula>$R$4</formula>
    </cfRule>
  </conditionalFormatting>
  <conditionalFormatting sqref="K15:K28">
    <cfRule type="containsBlanks" dxfId="28" priority="3">
      <formula>LEN(TRIM(K15))=0</formula>
    </cfRule>
    <cfRule type="containsText" dxfId="27" priority="5" operator="containsText" text="Effettuato">
      <formula>NOT(ISERROR(SEARCH("Effettuato",K15)))</formula>
    </cfRule>
    <cfRule type="containsText" dxfId="26" priority="6" operator="containsText" text="Programmato">
      <formula>NOT(ISERROR(SEARCH("Programmato",K15)))</formula>
    </cfRule>
  </conditionalFormatting>
  <pageMargins left="0.7" right="0.7" top="0.75" bottom="0.75" header="0.3" footer="0.3"/>
  <headerFooter>
    <oddFooter>&amp;C_x000D_&amp;1#&amp;"Aptos"&amp;10&amp;K000000 This document is classified as EOLO - C2 General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4CC92-BBF9-438F-91D5-251258E06253}">
  <sheetPr codeName="Foglio8"/>
  <dimension ref="B3:W26"/>
  <sheetViews>
    <sheetView zoomScale="90" zoomScaleNormal="90" workbookViewId="0">
      <selection activeCell="G27" sqref="G27"/>
    </sheetView>
  </sheetViews>
  <sheetFormatPr baseColWidth="10" defaultColWidth="8.6640625" defaultRowHeight="15" x14ac:dyDescent="0.2"/>
  <cols>
    <col min="1" max="1" width="6.1640625" customWidth="1"/>
    <col min="2" max="2" width="12.6640625" customWidth="1"/>
    <col min="3" max="4" width="8.6640625" customWidth="1"/>
    <col min="5" max="5" width="8.6640625" hidden="1" customWidth="1"/>
    <col min="6" max="6" width="11.33203125" hidden="1" customWidth="1"/>
    <col min="10" max="10" width="17.6640625" customWidth="1"/>
    <col min="15" max="15" width="9.1640625" customWidth="1"/>
  </cols>
  <sheetData>
    <row r="3" spans="2:23" x14ac:dyDescent="0.2">
      <c r="Q3" s="73">
        <f ca="1">TODAY()</f>
        <v>46146</v>
      </c>
    </row>
    <row r="12" spans="2:23" s="7" customFormat="1" ht="19" x14ac:dyDescent="0.2">
      <c r="B12" s="71" t="s">
        <v>87</v>
      </c>
      <c r="C12" s="95" t="s">
        <v>88</v>
      </c>
      <c r="D12" s="95"/>
      <c r="E12" s="96" t="s">
        <v>89</v>
      </c>
      <c r="F12" s="96"/>
      <c r="G12" s="97" t="s">
        <v>90</v>
      </c>
      <c r="H12" s="97"/>
      <c r="I12" s="97"/>
      <c r="J12" s="97"/>
      <c r="K12" s="95" t="s">
        <v>91</v>
      </c>
      <c r="L12" s="95"/>
      <c r="M12" s="95"/>
      <c r="N12" s="95"/>
      <c r="O12" s="95"/>
      <c r="P12" s="95"/>
      <c r="Q12" s="95"/>
      <c r="R12" s="95"/>
      <c r="S12" s="95"/>
      <c r="W12" s="1"/>
    </row>
    <row r="13" spans="2:23" s="7" customFormat="1" ht="24" customHeight="1" x14ac:dyDescent="0.2">
      <c r="B13" s="8" t="s">
        <v>74</v>
      </c>
      <c r="C13" s="87">
        <v>46023</v>
      </c>
      <c r="D13" s="88"/>
      <c r="E13" s="89" t="b">
        <v>1</v>
      </c>
      <c r="F13" s="89"/>
      <c r="G13" s="90">
        <v>46204</v>
      </c>
      <c r="H13" s="91"/>
      <c r="I13" s="91"/>
      <c r="J13" s="92"/>
      <c r="K13" s="93" t="s">
        <v>226</v>
      </c>
      <c r="L13" s="94"/>
      <c r="M13" s="94"/>
      <c r="N13" s="94"/>
      <c r="O13" s="94"/>
      <c r="P13" s="94"/>
      <c r="Q13" s="94"/>
      <c r="R13" s="94"/>
      <c r="S13" s="94"/>
      <c r="W13" s="1"/>
    </row>
    <row r="14" spans="2:23" s="7" customFormat="1" ht="24" customHeight="1" x14ac:dyDescent="0.2">
      <c r="B14" s="8" t="s">
        <v>75</v>
      </c>
      <c r="C14" s="87">
        <v>46023</v>
      </c>
      <c r="D14" s="88"/>
      <c r="E14" s="89" t="b">
        <v>1</v>
      </c>
      <c r="F14" s="89"/>
      <c r="G14" s="90">
        <v>46204</v>
      </c>
      <c r="H14" s="91"/>
      <c r="I14" s="91"/>
      <c r="J14" s="92"/>
      <c r="K14" s="93" t="s">
        <v>191</v>
      </c>
      <c r="L14" s="94"/>
      <c r="M14" s="94"/>
      <c r="N14" s="94"/>
      <c r="O14" s="94"/>
      <c r="P14" s="94"/>
      <c r="Q14" s="94"/>
      <c r="R14" s="94"/>
      <c r="S14" s="94"/>
      <c r="W14" s="1"/>
    </row>
    <row r="15" spans="2:23" s="7" customFormat="1" ht="24" customHeight="1" x14ac:dyDescent="0.2">
      <c r="B15" s="8" t="s">
        <v>76</v>
      </c>
      <c r="C15" s="87">
        <v>46023</v>
      </c>
      <c r="D15" s="88"/>
      <c r="E15" s="89" t="b">
        <v>1</v>
      </c>
      <c r="F15" s="89"/>
      <c r="G15" s="90">
        <v>46204</v>
      </c>
      <c r="H15" s="91"/>
      <c r="I15" s="91"/>
      <c r="J15" s="92"/>
      <c r="K15" s="93" t="s">
        <v>226</v>
      </c>
      <c r="L15" s="94"/>
      <c r="M15" s="94"/>
      <c r="N15" s="94"/>
      <c r="O15" s="94"/>
      <c r="P15" s="94"/>
      <c r="Q15" s="94"/>
      <c r="R15" s="94"/>
      <c r="S15" s="94"/>
      <c r="W15" s="1"/>
    </row>
    <row r="16" spans="2:23" s="7" customFormat="1" ht="24" customHeight="1" x14ac:dyDescent="0.2">
      <c r="B16" s="8" t="s">
        <v>77</v>
      </c>
      <c r="C16" s="87">
        <v>46023</v>
      </c>
      <c r="D16" s="88"/>
      <c r="E16" s="89" t="b">
        <v>1</v>
      </c>
      <c r="F16" s="89"/>
      <c r="G16" s="90">
        <v>46204</v>
      </c>
      <c r="H16" s="91"/>
      <c r="I16" s="91"/>
      <c r="J16" s="92"/>
      <c r="K16" s="93" t="s">
        <v>226</v>
      </c>
      <c r="L16" s="94"/>
      <c r="M16" s="94"/>
      <c r="N16" s="94"/>
      <c r="O16" s="94"/>
      <c r="P16" s="94"/>
      <c r="Q16" s="94"/>
      <c r="R16" s="94"/>
      <c r="S16" s="94"/>
      <c r="W16" s="1"/>
    </row>
    <row r="17" spans="2:19" s="7" customFormat="1" ht="24" customHeight="1" x14ac:dyDescent="0.2">
      <c r="B17" s="8" t="s">
        <v>92</v>
      </c>
      <c r="C17" s="87">
        <v>46023</v>
      </c>
      <c r="D17" s="88"/>
      <c r="E17" s="89" t="b">
        <v>1</v>
      </c>
      <c r="F17" s="89"/>
      <c r="G17" s="90">
        <v>46204</v>
      </c>
      <c r="H17" s="91"/>
      <c r="I17" s="91"/>
      <c r="J17" s="92"/>
      <c r="K17" s="93" t="s">
        <v>191</v>
      </c>
      <c r="L17" s="94"/>
      <c r="M17" s="94"/>
      <c r="N17" s="94"/>
      <c r="O17" s="94"/>
      <c r="P17" s="94"/>
      <c r="Q17" s="94"/>
      <c r="R17" s="94"/>
      <c r="S17" s="94"/>
    </row>
    <row r="18" spans="2:19" s="7" customFormat="1" ht="24" customHeight="1" x14ac:dyDescent="0.2">
      <c r="B18" s="8" t="s">
        <v>79</v>
      </c>
      <c r="C18" s="87">
        <v>46023</v>
      </c>
      <c r="D18" s="88"/>
      <c r="E18" s="89" t="b">
        <v>1</v>
      </c>
      <c r="F18" s="89"/>
      <c r="G18" s="90">
        <v>46204</v>
      </c>
      <c r="H18" s="91"/>
      <c r="I18" s="91"/>
      <c r="J18" s="92"/>
      <c r="K18" s="93" t="s">
        <v>192</v>
      </c>
      <c r="L18" s="94"/>
      <c r="M18" s="94"/>
      <c r="N18" s="94"/>
      <c r="O18" s="94"/>
      <c r="P18" s="94"/>
      <c r="Q18" s="94"/>
      <c r="R18" s="94"/>
      <c r="S18" s="94"/>
    </row>
    <row r="19" spans="2:19" s="7" customFormat="1" ht="24" customHeight="1" x14ac:dyDescent="0.2">
      <c r="B19" s="8" t="s">
        <v>80</v>
      </c>
      <c r="C19" s="87">
        <v>46023</v>
      </c>
      <c r="D19" s="88"/>
      <c r="E19" s="89" t="b">
        <v>1</v>
      </c>
      <c r="F19" s="89"/>
      <c r="G19" s="90">
        <v>46204</v>
      </c>
      <c r="H19" s="91"/>
      <c r="I19" s="91"/>
      <c r="J19" s="92"/>
      <c r="K19" s="93" t="s">
        <v>203</v>
      </c>
      <c r="L19" s="94"/>
      <c r="M19" s="94"/>
      <c r="N19" s="94"/>
      <c r="O19" s="94"/>
      <c r="P19" s="94"/>
      <c r="Q19" s="94"/>
      <c r="R19" s="94"/>
      <c r="S19" s="94"/>
    </row>
    <row r="20" spans="2:19" s="7" customFormat="1" ht="24" customHeight="1" x14ac:dyDescent="0.2">
      <c r="B20" s="8" t="s">
        <v>81</v>
      </c>
      <c r="C20" s="87">
        <v>46023</v>
      </c>
      <c r="D20" s="88"/>
      <c r="E20" s="89" t="b">
        <v>1</v>
      </c>
      <c r="F20" s="89"/>
      <c r="G20" s="90">
        <v>46204</v>
      </c>
      <c r="H20" s="91"/>
      <c r="I20" s="91"/>
      <c r="J20" s="92"/>
      <c r="K20" s="93" t="s">
        <v>192</v>
      </c>
      <c r="L20" s="94"/>
      <c r="M20" s="94"/>
      <c r="N20" s="94"/>
      <c r="O20" s="94"/>
      <c r="P20" s="94"/>
      <c r="Q20" s="94"/>
      <c r="R20" s="94"/>
      <c r="S20" s="94"/>
    </row>
    <row r="21" spans="2:19" s="7" customFormat="1" ht="24" customHeight="1" x14ac:dyDescent="0.2">
      <c r="B21" s="8" t="s">
        <v>82</v>
      </c>
      <c r="C21" s="98">
        <v>46113</v>
      </c>
      <c r="D21" s="99"/>
      <c r="E21" s="89" t="b">
        <v>1</v>
      </c>
      <c r="F21" s="89"/>
      <c r="G21" s="90">
        <v>46296</v>
      </c>
      <c r="H21" s="91"/>
      <c r="I21" s="91"/>
      <c r="J21" s="92"/>
      <c r="K21" s="93" t="s">
        <v>238</v>
      </c>
      <c r="L21" s="94"/>
      <c r="M21" s="94"/>
      <c r="N21" s="94"/>
      <c r="O21" s="94"/>
      <c r="P21" s="94"/>
      <c r="Q21" s="94"/>
      <c r="R21" s="94"/>
      <c r="S21" s="94"/>
    </row>
    <row r="22" spans="2:19" s="7" customFormat="1" ht="24" customHeight="1" x14ac:dyDescent="0.2">
      <c r="B22" s="8" t="s">
        <v>83</v>
      </c>
      <c r="C22" s="87">
        <v>46023</v>
      </c>
      <c r="D22" s="88"/>
      <c r="E22" s="89" t="b">
        <v>1</v>
      </c>
      <c r="F22" s="89"/>
      <c r="G22" s="90">
        <v>46235</v>
      </c>
      <c r="H22" s="91"/>
      <c r="I22" s="91"/>
      <c r="J22" s="92"/>
      <c r="K22" s="93" t="s">
        <v>226</v>
      </c>
      <c r="L22" s="94"/>
      <c r="M22" s="94"/>
      <c r="N22" s="94"/>
      <c r="O22" s="94"/>
      <c r="P22" s="94"/>
      <c r="Q22" s="94"/>
      <c r="R22" s="94"/>
      <c r="S22" s="94"/>
    </row>
    <row r="23" spans="2:19" ht="22" x14ac:dyDescent="0.2">
      <c r="B23" s="8" t="s">
        <v>84</v>
      </c>
      <c r="C23" s="87">
        <v>46113</v>
      </c>
      <c r="D23" s="88"/>
      <c r="E23" s="89" t="b">
        <v>1</v>
      </c>
      <c r="F23" s="89"/>
      <c r="G23" s="90">
        <v>46296</v>
      </c>
      <c r="H23" s="91"/>
      <c r="I23" s="91"/>
      <c r="J23" s="92"/>
      <c r="K23" s="93" t="s">
        <v>235</v>
      </c>
      <c r="L23" s="94"/>
      <c r="M23" s="94"/>
      <c r="N23" s="94"/>
      <c r="O23" s="94"/>
      <c r="P23" s="94"/>
      <c r="Q23" s="94"/>
      <c r="R23" s="94"/>
      <c r="S23" s="94"/>
    </row>
    <row r="24" spans="2:19" ht="21" customHeight="1" x14ac:dyDescent="0.2">
      <c r="B24" s="8" t="s">
        <v>85</v>
      </c>
      <c r="C24" s="87">
        <v>46023</v>
      </c>
      <c r="D24" s="88"/>
      <c r="E24" s="89" t="b">
        <v>1</v>
      </c>
      <c r="F24" s="89"/>
      <c r="G24" s="90">
        <v>46204</v>
      </c>
      <c r="H24" s="91"/>
      <c r="I24" s="91"/>
      <c r="J24" s="92"/>
      <c r="K24" s="93" t="s">
        <v>203</v>
      </c>
      <c r="L24" s="94"/>
      <c r="M24" s="94"/>
      <c r="N24" s="94"/>
      <c r="O24" s="94"/>
      <c r="P24" s="94"/>
      <c r="Q24" s="94"/>
      <c r="R24" s="94"/>
      <c r="S24" s="94"/>
    </row>
    <row r="25" spans="2:19" ht="21" customHeight="1" x14ac:dyDescent="0.2">
      <c r="B25" s="44" t="s">
        <v>86</v>
      </c>
      <c r="C25" s="87">
        <v>46023</v>
      </c>
      <c r="D25" s="88"/>
      <c r="E25" s="89" t="b">
        <v>1</v>
      </c>
      <c r="F25" s="89"/>
      <c r="G25" s="90">
        <v>46204</v>
      </c>
      <c r="H25" s="91"/>
      <c r="I25" s="91"/>
      <c r="J25" s="92"/>
      <c r="K25" s="93" t="s">
        <v>203</v>
      </c>
      <c r="L25" s="94"/>
      <c r="M25" s="94"/>
      <c r="N25" s="94"/>
      <c r="O25" s="94"/>
      <c r="P25" s="94"/>
      <c r="Q25" s="94"/>
      <c r="R25" s="94"/>
      <c r="S25" s="94"/>
    </row>
    <row r="26" spans="2:19" ht="22" x14ac:dyDescent="0.2">
      <c r="B26" s="44" t="s">
        <v>136</v>
      </c>
      <c r="C26" s="87">
        <v>46113</v>
      </c>
      <c r="D26" s="88"/>
      <c r="E26" s="89" t="b">
        <v>0</v>
      </c>
      <c r="F26" s="89"/>
      <c r="G26" s="90">
        <v>46296</v>
      </c>
      <c r="H26" s="91"/>
      <c r="I26" s="91"/>
      <c r="J26" s="92"/>
      <c r="K26" s="93" t="s">
        <v>239</v>
      </c>
      <c r="L26" s="94"/>
      <c r="M26" s="94"/>
      <c r="N26" s="94"/>
      <c r="O26" s="94"/>
      <c r="P26" s="94"/>
      <c r="Q26" s="94"/>
      <c r="R26" s="94"/>
      <c r="S26" s="94"/>
    </row>
  </sheetData>
  <mergeCells count="60">
    <mergeCell ref="C23:D23"/>
    <mergeCell ref="E23:F23"/>
    <mergeCell ref="G23:J23"/>
    <mergeCell ref="K23:S23"/>
    <mergeCell ref="C21:D21"/>
    <mergeCell ref="E21:F21"/>
    <mergeCell ref="G21:J21"/>
    <mergeCell ref="K21:S21"/>
    <mergeCell ref="K26:S26"/>
    <mergeCell ref="C26:D26"/>
    <mergeCell ref="E26:F26"/>
    <mergeCell ref="G26:J26"/>
    <mergeCell ref="C22:D22"/>
    <mergeCell ref="E22:F22"/>
    <mergeCell ref="G22:J22"/>
    <mergeCell ref="C25:D25"/>
    <mergeCell ref="E25:F25"/>
    <mergeCell ref="G25:J25"/>
    <mergeCell ref="K22:S22"/>
    <mergeCell ref="K25:S25"/>
    <mergeCell ref="C24:D24"/>
    <mergeCell ref="E24:F24"/>
    <mergeCell ref="G24:J24"/>
    <mergeCell ref="K24:S24"/>
    <mergeCell ref="C19:D19"/>
    <mergeCell ref="E19:F19"/>
    <mergeCell ref="G19:J19"/>
    <mergeCell ref="K19:S19"/>
    <mergeCell ref="C20:D20"/>
    <mergeCell ref="E20:F20"/>
    <mergeCell ref="G20:J20"/>
    <mergeCell ref="K20:S20"/>
    <mergeCell ref="C17:D17"/>
    <mergeCell ref="E17:F17"/>
    <mergeCell ref="G17:J17"/>
    <mergeCell ref="K17:S17"/>
    <mergeCell ref="C18:D18"/>
    <mergeCell ref="E18:F18"/>
    <mergeCell ref="G18:J18"/>
    <mergeCell ref="K18:S18"/>
    <mergeCell ref="C15:D15"/>
    <mergeCell ref="E15:F15"/>
    <mergeCell ref="G15:J15"/>
    <mergeCell ref="K15:S15"/>
    <mergeCell ref="C16:D16"/>
    <mergeCell ref="E16:F16"/>
    <mergeCell ref="G16:J16"/>
    <mergeCell ref="K16:S16"/>
    <mergeCell ref="C14:D14"/>
    <mergeCell ref="E14:F14"/>
    <mergeCell ref="G14:J14"/>
    <mergeCell ref="K14:S14"/>
    <mergeCell ref="C12:D12"/>
    <mergeCell ref="E12:F12"/>
    <mergeCell ref="G12:J12"/>
    <mergeCell ref="K12:S12"/>
    <mergeCell ref="C13:D13"/>
    <mergeCell ref="E13:F13"/>
    <mergeCell ref="G13:J13"/>
    <mergeCell ref="K13:S13"/>
  </mergeCells>
  <conditionalFormatting sqref="G13:G26">
    <cfRule type="cellIs" dxfId="25" priority="4" stopIfTrue="1" operator="greaterThanOrEqual">
      <formula>$Q$3</formula>
    </cfRule>
    <cfRule type="cellIs" dxfId="24" priority="5" stopIfTrue="1" operator="lessThanOrEqual">
      <formula>$Q$3</formula>
    </cfRule>
  </conditionalFormatting>
  <conditionalFormatting sqref="K13:K26">
    <cfRule type="containsText" dxfId="23" priority="2" operator="containsText" text="Effettuato">
      <formula>NOT(ISERROR(SEARCH("Effettuato",K13)))</formula>
    </cfRule>
    <cfRule type="containsText" dxfId="22" priority="3" operator="containsText" text="Programmato">
      <formula>NOT(ISERROR(SEARCH("Programmato",K13)))</formula>
    </cfRule>
    <cfRule type="containsBlanks" dxfId="21" priority="12">
      <formula>LEN(TRIM(K13))=0</formula>
    </cfRule>
  </conditionalFormatting>
  <pageMargins left="0.7" right="0.7" top="0.75" bottom="0.75" header="0.3" footer="0.3"/>
  <pageSetup paperSize="9" orientation="portrait" r:id="rId1"/>
  <headerFooter>
    <oddFooter>&amp;C_x000D_&amp;1#&amp;"Aptos"&amp;10&amp;K000000 This document is classified as EOLO - C2 General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1E291-C0F0-47E4-9A58-142296219A8E}">
  <dimension ref="B2:W56"/>
  <sheetViews>
    <sheetView topLeftCell="A4" zoomScale="60" zoomScaleNormal="60" workbookViewId="0">
      <selection activeCell="K29" sqref="K29:S29"/>
    </sheetView>
  </sheetViews>
  <sheetFormatPr baseColWidth="10" defaultColWidth="8.6640625" defaultRowHeight="15" x14ac:dyDescent="0.2"/>
  <cols>
    <col min="1" max="1" width="8.5" customWidth="1"/>
    <col min="2" max="2" width="12.5" customWidth="1"/>
    <col min="6" max="6" width="11.33203125" customWidth="1"/>
    <col min="10" max="10" width="11.1640625" customWidth="1"/>
    <col min="19" max="19" width="18.1640625" customWidth="1"/>
  </cols>
  <sheetData>
    <row r="2" spans="2:23" x14ac:dyDescent="0.2">
      <c r="R2" s="73">
        <f ca="1">TODAY()</f>
        <v>46146</v>
      </c>
    </row>
    <row r="4" spans="2:23" ht="16" thickBot="1" x14ac:dyDescent="0.25"/>
    <row r="5" spans="2:23" ht="22" x14ac:dyDescent="0.3">
      <c r="B5" s="132" t="s">
        <v>93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4"/>
    </row>
    <row r="6" spans="2:23" s="7" customFormat="1" ht="19" x14ac:dyDescent="0.2">
      <c r="B6" s="76" t="s">
        <v>87</v>
      </c>
      <c r="C6" s="106" t="s">
        <v>88</v>
      </c>
      <c r="D6" s="107"/>
      <c r="E6" s="108" t="s">
        <v>89</v>
      </c>
      <c r="F6" s="109"/>
      <c r="G6" s="110" t="s">
        <v>94</v>
      </c>
      <c r="H6" s="111"/>
      <c r="I6" s="111"/>
      <c r="J6" s="112"/>
      <c r="K6" s="95" t="s">
        <v>91</v>
      </c>
      <c r="L6" s="95"/>
      <c r="M6" s="95"/>
      <c r="N6" s="95"/>
      <c r="O6" s="95"/>
      <c r="P6" s="95"/>
      <c r="Q6" s="95"/>
      <c r="R6" s="95"/>
      <c r="S6" s="113"/>
      <c r="W6" s="1"/>
    </row>
    <row r="7" spans="2:23" s="7" customFormat="1" ht="21" customHeight="1" x14ac:dyDescent="0.2">
      <c r="B7" s="46" t="s">
        <v>74</v>
      </c>
      <c r="C7" s="103">
        <v>45566</v>
      </c>
      <c r="D7" s="114"/>
      <c r="E7" s="115" t="b">
        <v>1</v>
      </c>
      <c r="F7" s="116"/>
      <c r="G7" s="90">
        <v>46296</v>
      </c>
      <c r="H7" s="91"/>
      <c r="I7" s="91"/>
      <c r="J7" s="92"/>
      <c r="K7" s="117" t="s">
        <v>156</v>
      </c>
      <c r="L7" s="118"/>
      <c r="M7" s="118"/>
      <c r="N7" s="118"/>
      <c r="O7" s="118"/>
      <c r="P7" s="118"/>
      <c r="Q7" s="118"/>
      <c r="R7" s="118"/>
      <c r="S7" s="119"/>
      <c r="W7" s="1"/>
    </row>
    <row r="8" spans="2:23" s="7" customFormat="1" ht="21" customHeight="1" x14ac:dyDescent="0.2">
      <c r="B8" s="46" t="s">
        <v>75</v>
      </c>
      <c r="C8" s="103">
        <v>45809</v>
      </c>
      <c r="D8" s="114"/>
      <c r="E8" s="115" t="b">
        <v>1</v>
      </c>
      <c r="F8" s="116"/>
      <c r="G8" s="90">
        <v>46508</v>
      </c>
      <c r="H8" s="91"/>
      <c r="I8" s="91"/>
      <c r="J8" s="92"/>
      <c r="K8" s="117" t="s">
        <v>157</v>
      </c>
      <c r="L8" s="118"/>
      <c r="M8" s="118"/>
      <c r="N8" s="118"/>
      <c r="O8" s="118"/>
      <c r="P8" s="118"/>
      <c r="Q8" s="118"/>
      <c r="R8" s="118"/>
      <c r="S8" s="119"/>
      <c r="W8" s="1"/>
    </row>
    <row r="9" spans="2:23" s="7" customFormat="1" ht="21" customHeight="1" x14ac:dyDescent="0.2">
      <c r="B9" s="46" t="s">
        <v>76</v>
      </c>
      <c r="C9" s="103">
        <v>46029</v>
      </c>
      <c r="D9" s="114"/>
      <c r="E9" s="115" t="b">
        <v>1</v>
      </c>
      <c r="F9" s="116"/>
      <c r="G9" s="90">
        <v>46753</v>
      </c>
      <c r="H9" s="91"/>
      <c r="I9" s="91"/>
      <c r="J9" s="92"/>
      <c r="K9" s="117" t="s">
        <v>166</v>
      </c>
      <c r="L9" s="118"/>
      <c r="M9" s="118"/>
      <c r="N9" s="118"/>
      <c r="O9" s="118"/>
      <c r="P9" s="118"/>
      <c r="Q9" s="118"/>
      <c r="R9" s="118"/>
      <c r="S9" s="119"/>
      <c r="W9" s="1"/>
    </row>
    <row r="10" spans="2:23" s="7" customFormat="1" ht="21" customHeight="1" x14ac:dyDescent="0.2">
      <c r="B10" s="46" t="s">
        <v>77</v>
      </c>
      <c r="C10" s="103">
        <v>45434</v>
      </c>
      <c r="D10" s="114"/>
      <c r="E10" s="115" t="b">
        <v>1</v>
      </c>
      <c r="F10" s="116"/>
      <c r="G10" s="90">
        <v>46143</v>
      </c>
      <c r="H10" s="91"/>
      <c r="I10" s="91"/>
      <c r="J10" s="92"/>
      <c r="K10" s="117" t="s">
        <v>158</v>
      </c>
      <c r="L10" s="118"/>
      <c r="M10" s="118"/>
      <c r="N10" s="118"/>
      <c r="O10" s="118"/>
      <c r="P10" s="118"/>
      <c r="Q10" s="118"/>
      <c r="R10" s="118"/>
      <c r="S10" s="119"/>
      <c r="W10" s="1"/>
    </row>
    <row r="11" spans="2:23" s="7" customFormat="1" ht="21" customHeight="1" x14ac:dyDescent="0.2">
      <c r="B11" s="46" t="s">
        <v>92</v>
      </c>
      <c r="C11" s="103">
        <v>45616</v>
      </c>
      <c r="D11" s="114"/>
      <c r="E11" s="115" t="b">
        <v>1</v>
      </c>
      <c r="F11" s="116"/>
      <c r="G11" s="90">
        <v>46327</v>
      </c>
      <c r="H11" s="91"/>
      <c r="I11" s="91"/>
      <c r="J11" s="92"/>
      <c r="K11" s="117" t="s">
        <v>159</v>
      </c>
      <c r="L11" s="118"/>
      <c r="M11" s="118"/>
      <c r="N11" s="118"/>
      <c r="O11" s="118"/>
      <c r="P11" s="118"/>
      <c r="Q11" s="118"/>
      <c r="R11" s="118"/>
      <c r="S11" s="119"/>
    </row>
    <row r="12" spans="2:23" s="7" customFormat="1" ht="21" customHeight="1" x14ac:dyDescent="0.2">
      <c r="B12" s="46" t="s">
        <v>79</v>
      </c>
      <c r="C12" s="103">
        <v>45689</v>
      </c>
      <c r="D12" s="114"/>
      <c r="E12" s="115" t="b">
        <v>1</v>
      </c>
      <c r="F12" s="116"/>
      <c r="G12" s="90">
        <v>46419</v>
      </c>
      <c r="H12" s="91"/>
      <c r="I12" s="91"/>
      <c r="J12" s="92"/>
      <c r="K12" s="117" t="s">
        <v>160</v>
      </c>
      <c r="L12" s="118"/>
      <c r="M12" s="118"/>
      <c r="N12" s="118"/>
      <c r="O12" s="118"/>
      <c r="P12" s="118"/>
      <c r="Q12" s="118"/>
      <c r="R12" s="118"/>
      <c r="S12" s="119"/>
    </row>
    <row r="13" spans="2:23" s="7" customFormat="1" ht="21" customHeight="1" x14ac:dyDescent="0.2">
      <c r="B13" s="46" t="s">
        <v>80</v>
      </c>
      <c r="C13" s="103">
        <v>45809</v>
      </c>
      <c r="D13" s="114"/>
      <c r="E13" s="115" t="b">
        <v>1</v>
      </c>
      <c r="F13" s="116"/>
      <c r="G13" s="90">
        <v>46539</v>
      </c>
      <c r="H13" s="91"/>
      <c r="I13" s="91"/>
      <c r="J13" s="92"/>
      <c r="K13" s="117" t="s">
        <v>152</v>
      </c>
      <c r="L13" s="118"/>
      <c r="M13" s="118"/>
      <c r="N13" s="118"/>
      <c r="O13" s="118"/>
      <c r="P13" s="118"/>
      <c r="Q13" s="118"/>
      <c r="R13" s="118"/>
      <c r="S13" s="119"/>
    </row>
    <row r="14" spans="2:23" s="7" customFormat="1" ht="21" customHeight="1" x14ac:dyDescent="0.2">
      <c r="B14" s="46" t="s">
        <v>81</v>
      </c>
      <c r="C14" s="103">
        <v>46023</v>
      </c>
      <c r="D14" s="114"/>
      <c r="E14" s="115" t="b">
        <v>1</v>
      </c>
      <c r="F14" s="116"/>
      <c r="G14" s="90">
        <v>46753</v>
      </c>
      <c r="H14" s="91"/>
      <c r="I14" s="91"/>
      <c r="J14" s="92"/>
      <c r="K14" s="117" t="s">
        <v>212</v>
      </c>
      <c r="L14" s="118"/>
      <c r="M14" s="118"/>
      <c r="N14" s="118"/>
      <c r="O14" s="118"/>
      <c r="P14" s="118"/>
      <c r="Q14" s="118"/>
      <c r="R14" s="118"/>
      <c r="S14" s="119"/>
    </row>
    <row r="15" spans="2:23" s="7" customFormat="1" ht="21" customHeight="1" x14ac:dyDescent="0.2">
      <c r="B15" s="46" t="s">
        <v>82</v>
      </c>
      <c r="C15" s="120"/>
      <c r="D15" s="121"/>
      <c r="E15" s="115" t="b">
        <v>0</v>
      </c>
      <c r="F15" s="116"/>
      <c r="G15" s="90">
        <v>46143</v>
      </c>
      <c r="H15" s="91"/>
      <c r="I15" s="91"/>
      <c r="J15" s="92"/>
      <c r="K15" s="117"/>
      <c r="L15" s="118"/>
      <c r="M15" s="118"/>
      <c r="N15" s="118"/>
      <c r="O15" s="118"/>
      <c r="P15" s="118"/>
      <c r="Q15" s="118"/>
      <c r="R15" s="118"/>
      <c r="S15" s="119"/>
    </row>
    <row r="16" spans="2:23" s="7" customFormat="1" ht="21" customHeight="1" x14ac:dyDescent="0.2">
      <c r="B16" s="46" t="s">
        <v>83</v>
      </c>
      <c r="C16" s="120"/>
      <c r="D16" s="121"/>
      <c r="E16" s="115" t="b">
        <v>0</v>
      </c>
      <c r="F16" s="116"/>
      <c r="G16" s="90">
        <v>46266</v>
      </c>
      <c r="H16" s="91"/>
      <c r="I16" s="91"/>
      <c r="J16" s="92"/>
      <c r="K16" s="117"/>
      <c r="L16" s="118"/>
      <c r="M16" s="118"/>
      <c r="N16" s="118"/>
      <c r="O16" s="118"/>
      <c r="P16" s="118"/>
      <c r="Q16" s="118"/>
      <c r="R16" s="118"/>
      <c r="S16" s="119"/>
    </row>
    <row r="17" spans="2:23" s="7" customFormat="1" ht="21" customHeight="1" x14ac:dyDescent="0.2">
      <c r="B17" s="46" t="s">
        <v>84</v>
      </c>
      <c r="C17" s="120"/>
      <c r="D17" s="121"/>
      <c r="E17" s="115" t="b">
        <v>0</v>
      </c>
      <c r="F17" s="116" t="b">
        <v>0</v>
      </c>
      <c r="G17" s="90">
        <v>46388</v>
      </c>
      <c r="H17" s="91"/>
      <c r="I17" s="91"/>
      <c r="J17" s="92"/>
      <c r="K17" s="117"/>
      <c r="L17" s="118"/>
      <c r="M17" s="118"/>
      <c r="N17" s="118"/>
      <c r="O17" s="118"/>
      <c r="P17" s="118"/>
      <c r="Q17" s="118"/>
      <c r="R17" s="118"/>
      <c r="S17" s="119"/>
    </row>
    <row r="18" spans="2:23" s="7" customFormat="1" ht="21" customHeight="1" x14ac:dyDescent="0.2">
      <c r="B18" s="46" t="s">
        <v>85</v>
      </c>
      <c r="C18" s="120"/>
      <c r="D18" s="121"/>
      <c r="E18" s="115" t="b">
        <v>0</v>
      </c>
      <c r="F18" s="116" t="b">
        <v>0</v>
      </c>
      <c r="G18" s="90">
        <v>46478</v>
      </c>
      <c r="H18" s="91"/>
      <c r="I18" s="91"/>
      <c r="J18" s="92"/>
      <c r="K18" s="117" t="s">
        <v>215</v>
      </c>
      <c r="L18" s="118"/>
      <c r="M18" s="118"/>
      <c r="N18" s="118"/>
      <c r="O18" s="118"/>
      <c r="P18" s="118"/>
      <c r="Q18" s="118"/>
      <c r="R18" s="118"/>
      <c r="S18" s="119"/>
    </row>
    <row r="19" spans="2:23" s="7" customFormat="1" ht="21" customHeight="1" x14ac:dyDescent="0.2">
      <c r="B19" s="46" t="s">
        <v>86</v>
      </c>
      <c r="C19" s="120"/>
      <c r="D19" s="121"/>
      <c r="E19" s="115" t="b">
        <v>0</v>
      </c>
      <c r="F19" s="116" t="b">
        <v>0</v>
      </c>
      <c r="G19" s="90">
        <v>46539</v>
      </c>
      <c r="H19" s="91"/>
      <c r="I19" s="91"/>
      <c r="J19" s="92"/>
      <c r="K19" s="117"/>
      <c r="L19" s="118"/>
      <c r="M19" s="118"/>
      <c r="N19" s="118"/>
      <c r="O19" s="118"/>
      <c r="P19" s="118"/>
      <c r="Q19" s="118"/>
      <c r="R19" s="118"/>
      <c r="S19" s="119"/>
    </row>
    <row r="20" spans="2:23" s="7" customFormat="1" ht="21" customHeight="1" thickBot="1" x14ac:dyDescent="0.25">
      <c r="B20" s="47" t="s">
        <v>136</v>
      </c>
      <c r="C20" s="122"/>
      <c r="D20" s="123"/>
      <c r="E20" s="124" t="b">
        <v>0</v>
      </c>
      <c r="F20" s="125" t="b">
        <v>0</v>
      </c>
      <c r="G20" s="126">
        <v>46631</v>
      </c>
      <c r="H20" s="127"/>
      <c r="I20" s="127"/>
      <c r="J20" s="128"/>
      <c r="K20" s="129"/>
      <c r="L20" s="130"/>
      <c r="M20" s="130"/>
      <c r="N20" s="130"/>
      <c r="O20" s="130"/>
      <c r="P20" s="130"/>
      <c r="Q20" s="130"/>
      <c r="R20" s="130"/>
      <c r="S20" s="131"/>
    </row>
    <row r="22" spans="2:23" ht="16" thickBot="1" x14ac:dyDescent="0.25"/>
    <row r="23" spans="2:23" ht="22" x14ac:dyDescent="0.3">
      <c r="B23" s="132" t="s">
        <v>95</v>
      </c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4"/>
    </row>
    <row r="24" spans="2:23" s="7" customFormat="1" ht="19" x14ac:dyDescent="0.2">
      <c r="B24" s="76" t="s">
        <v>87</v>
      </c>
      <c r="C24" s="106" t="s">
        <v>88</v>
      </c>
      <c r="D24" s="107"/>
      <c r="E24" s="108" t="s">
        <v>89</v>
      </c>
      <c r="F24" s="109"/>
      <c r="G24" s="110" t="s">
        <v>96</v>
      </c>
      <c r="H24" s="111"/>
      <c r="I24" s="111"/>
      <c r="J24" s="112"/>
      <c r="K24" s="95" t="s">
        <v>91</v>
      </c>
      <c r="L24" s="95"/>
      <c r="M24" s="95"/>
      <c r="N24" s="95"/>
      <c r="O24" s="95"/>
      <c r="P24" s="95"/>
      <c r="Q24" s="95"/>
      <c r="R24" s="95"/>
      <c r="S24" s="113"/>
      <c r="W24" s="1"/>
    </row>
    <row r="25" spans="2:23" s="7" customFormat="1" ht="21" customHeight="1" x14ac:dyDescent="0.2">
      <c r="B25" s="46" t="s">
        <v>74</v>
      </c>
      <c r="C25" s="103">
        <v>45935</v>
      </c>
      <c r="D25" s="114"/>
      <c r="E25" s="115" t="b">
        <v>1</v>
      </c>
      <c r="F25" s="116"/>
      <c r="G25" s="90">
        <v>46296</v>
      </c>
      <c r="H25" s="91"/>
      <c r="I25" s="91"/>
      <c r="J25" s="92"/>
      <c r="K25" s="117" t="s">
        <v>227</v>
      </c>
      <c r="L25" s="118"/>
      <c r="M25" s="118"/>
      <c r="N25" s="118"/>
      <c r="O25" s="118"/>
      <c r="P25" s="118"/>
      <c r="Q25" s="118"/>
      <c r="R25" s="118"/>
      <c r="S25" s="119"/>
      <c r="W25" s="1"/>
    </row>
    <row r="26" spans="2:23" s="7" customFormat="1" ht="22" x14ac:dyDescent="0.2">
      <c r="B26" s="46" t="s">
        <v>75</v>
      </c>
      <c r="C26" s="103">
        <v>45809</v>
      </c>
      <c r="D26" s="114"/>
      <c r="E26" s="115" t="b">
        <v>1</v>
      </c>
      <c r="F26" s="116"/>
      <c r="G26" s="90">
        <v>46174</v>
      </c>
      <c r="H26" s="91"/>
      <c r="I26" s="91"/>
      <c r="J26" s="92"/>
      <c r="K26" s="117"/>
      <c r="L26" s="118"/>
      <c r="M26" s="118"/>
      <c r="N26" s="118"/>
      <c r="O26" s="118"/>
      <c r="P26" s="118"/>
      <c r="Q26" s="118"/>
      <c r="R26" s="118"/>
      <c r="S26" s="119"/>
      <c r="W26" s="1"/>
    </row>
    <row r="27" spans="2:23" s="7" customFormat="1" ht="22" x14ac:dyDescent="0.2">
      <c r="B27" s="46" t="s">
        <v>76</v>
      </c>
      <c r="C27" s="103">
        <v>46029</v>
      </c>
      <c r="D27" s="114"/>
      <c r="E27" s="115" t="b">
        <v>1</v>
      </c>
      <c r="F27" s="116"/>
      <c r="G27" s="90">
        <v>46388</v>
      </c>
      <c r="H27" s="91"/>
      <c r="I27" s="91"/>
      <c r="J27" s="92"/>
      <c r="K27" s="117" t="s">
        <v>166</v>
      </c>
      <c r="L27" s="118"/>
      <c r="M27" s="118"/>
      <c r="N27" s="118"/>
      <c r="O27" s="118"/>
      <c r="P27" s="118"/>
      <c r="Q27" s="118"/>
      <c r="R27" s="118"/>
      <c r="S27" s="119"/>
      <c r="W27" s="1"/>
    </row>
    <row r="28" spans="2:23" s="7" customFormat="1" ht="22" x14ac:dyDescent="0.2">
      <c r="B28" s="46" t="s">
        <v>77</v>
      </c>
      <c r="C28" s="103">
        <v>45799</v>
      </c>
      <c r="D28" s="114"/>
      <c r="E28" s="115" t="b">
        <v>1</v>
      </c>
      <c r="F28" s="116"/>
      <c r="G28" s="90">
        <v>46143</v>
      </c>
      <c r="H28" s="91"/>
      <c r="I28" s="91"/>
      <c r="J28" s="92"/>
      <c r="K28" s="117" t="s">
        <v>242</v>
      </c>
      <c r="L28" s="118"/>
      <c r="M28" s="118"/>
      <c r="N28" s="118"/>
      <c r="O28" s="118"/>
      <c r="P28" s="118"/>
      <c r="Q28" s="118"/>
      <c r="R28" s="118"/>
      <c r="S28" s="119"/>
      <c r="W28" s="1"/>
    </row>
    <row r="29" spans="2:23" s="7" customFormat="1" ht="22" x14ac:dyDescent="0.2">
      <c r="B29" s="46" t="s">
        <v>92</v>
      </c>
      <c r="C29" s="103">
        <v>45981</v>
      </c>
      <c r="D29" s="114"/>
      <c r="E29" s="115" t="b">
        <v>1</v>
      </c>
      <c r="F29" s="116"/>
      <c r="G29" s="90">
        <v>46327</v>
      </c>
      <c r="H29" s="91"/>
      <c r="I29" s="91"/>
      <c r="J29" s="92"/>
      <c r="K29" s="117" t="s">
        <v>228</v>
      </c>
      <c r="L29" s="118"/>
      <c r="M29" s="118"/>
      <c r="N29" s="118"/>
      <c r="O29" s="118"/>
      <c r="P29" s="118"/>
      <c r="Q29" s="118"/>
      <c r="R29" s="118"/>
      <c r="S29" s="119"/>
    </row>
    <row r="30" spans="2:23" s="7" customFormat="1" ht="22" x14ac:dyDescent="0.2">
      <c r="B30" s="46" t="s">
        <v>79</v>
      </c>
      <c r="C30" s="103">
        <v>46054</v>
      </c>
      <c r="D30" s="114"/>
      <c r="E30" s="115" t="b">
        <v>1</v>
      </c>
      <c r="F30" s="116"/>
      <c r="G30" s="90">
        <v>46419</v>
      </c>
      <c r="H30" s="91"/>
      <c r="I30" s="91"/>
      <c r="J30" s="92"/>
      <c r="K30" s="117" t="s">
        <v>229</v>
      </c>
      <c r="L30" s="118"/>
      <c r="M30" s="118"/>
      <c r="N30" s="118"/>
      <c r="O30" s="118"/>
      <c r="P30" s="118"/>
      <c r="Q30" s="118"/>
      <c r="R30" s="118"/>
      <c r="S30" s="119"/>
    </row>
    <row r="31" spans="2:23" s="7" customFormat="1" ht="22" x14ac:dyDescent="0.2">
      <c r="B31" s="46" t="s">
        <v>80</v>
      </c>
      <c r="C31" s="103">
        <v>45809</v>
      </c>
      <c r="D31" s="114"/>
      <c r="E31" s="115" t="b">
        <v>1</v>
      </c>
      <c r="F31" s="116"/>
      <c r="G31" s="90">
        <v>46174</v>
      </c>
      <c r="H31" s="91"/>
      <c r="I31" s="91"/>
      <c r="J31" s="92"/>
      <c r="K31" s="117" t="s">
        <v>152</v>
      </c>
      <c r="L31" s="118"/>
      <c r="M31" s="118"/>
      <c r="N31" s="118"/>
      <c r="O31" s="118"/>
      <c r="P31" s="118"/>
      <c r="Q31" s="118"/>
      <c r="R31" s="118"/>
      <c r="S31" s="119"/>
    </row>
    <row r="32" spans="2:23" s="7" customFormat="1" ht="22" x14ac:dyDescent="0.2">
      <c r="B32" s="46" t="s">
        <v>81</v>
      </c>
      <c r="C32" s="103">
        <v>46023</v>
      </c>
      <c r="D32" s="114"/>
      <c r="E32" s="115" t="b">
        <v>1</v>
      </c>
      <c r="F32" s="116"/>
      <c r="G32" s="90">
        <v>46388</v>
      </c>
      <c r="H32" s="91"/>
      <c r="I32" s="91"/>
      <c r="J32" s="92"/>
      <c r="K32" s="117" t="s">
        <v>212</v>
      </c>
      <c r="L32" s="118"/>
      <c r="M32" s="118"/>
      <c r="N32" s="118"/>
      <c r="O32" s="118"/>
      <c r="P32" s="118"/>
      <c r="Q32" s="118"/>
      <c r="R32" s="118"/>
      <c r="S32" s="119"/>
    </row>
    <row r="33" spans="2:19" s="7" customFormat="1" ht="22" x14ac:dyDescent="0.2">
      <c r="B33" s="46" t="s">
        <v>82</v>
      </c>
      <c r="C33" s="103">
        <v>45782</v>
      </c>
      <c r="D33" s="114"/>
      <c r="E33" s="115" t="b">
        <v>1</v>
      </c>
      <c r="F33" s="116"/>
      <c r="G33" s="90">
        <v>46143</v>
      </c>
      <c r="H33" s="91"/>
      <c r="I33" s="91"/>
      <c r="J33" s="92"/>
      <c r="K33" s="135" t="s">
        <v>204</v>
      </c>
      <c r="L33" s="136"/>
      <c r="M33" s="136"/>
      <c r="N33" s="136"/>
      <c r="O33" s="136"/>
      <c r="P33" s="136"/>
      <c r="Q33" s="136"/>
      <c r="R33" s="136"/>
      <c r="S33" s="137"/>
    </row>
    <row r="34" spans="2:19" s="7" customFormat="1" ht="22" x14ac:dyDescent="0.2">
      <c r="B34" s="46" t="s">
        <v>83</v>
      </c>
      <c r="C34" s="103">
        <v>45901</v>
      </c>
      <c r="D34" s="114"/>
      <c r="E34" s="115" t="b">
        <v>1</v>
      </c>
      <c r="F34" s="116"/>
      <c r="G34" s="90">
        <v>46266</v>
      </c>
      <c r="H34" s="91"/>
      <c r="I34" s="91"/>
      <c r="J34" s="92"/>
      <c r="K34" s="117" t="s">
        <v>205</v>
      </c>
      <c r="L34" s="118"/>
      <c r="M34" s="118"/>
      <c r="N34" s="118"/>
      <c r="O34" s="118"/>
      <c r="P34" s="118"/>
      <c r="Q34" s="118"/>
      <c r="R34" s="118"/>
      <c r="S34" s="119"/>
    </row>
    <row r="35" spans="2:19" s="7" customFormat="1" ht="22" x14ac:dyDescent="0.2">
      <c r="B35" s="46" t="s">
        <v>84</v>
      </c>
      <c r="C35" s="103">
        <v>46023</v>
      </c>
      <c r="D35" s="114"/>
      <c r="E35" s="115" t="b">
        <v>1</v>
      </c>
      <c r="F35" s="116" t="b">
        <v>0</v>
      </c>
      <c r="G35" s="90">
        <v>46388</v>
      </c>
      <c r="H35" s="91"/>
      <c r="I35" s="91"/>
      <c r="J35" s="92"/>
      <c r="K35" s="117" t="s">
        <v>223</v>
      </c>
      <c r="L35" s="118"/>
      <c r="M35" s="118"/>
      <c r="N35" s="118"/>
      <c r="O35" s="118"/>
      <c r="P35" s="118"/>
      <c r="Q35" s="118"/>
      <c r="R35" s="118"/>
      <c r="S35" s="119"/>
    </row>
    <row r="36" spans="2:19" s="7" customFormat="1" ht="22" x14ac:dyDescent="0.2">
      <c r="B36" s="46" t="s">
        <v>85</v>
      </c>
      <c r="C36" s="120">
        <v>46113</v>
      </c>
      <c r="D36" s="121"/>
      <c r="E36" s="115" t="b">
        <v>1</v>
      </c>
      <c r="F36" s="116" t="b">
        <v>0</v>
      </c>
      <c r="G36" s="90">
        <v>46478</v>
      </c>
      <c r="H36" s="91"/>
      <c r="I36" s="91"/>
      <c r="J36" s="92"/>
      <c r="K36" s="117" t="s">
        <v>231</v>
      </c>
      <c r="L36" s="118"/>
      <c r="M36" s="118"/>
      <c r="N36" s="118"/>
      <c r="O36" s="118"/>
      <c r="P36" s="118"/>
      <c r="Q36" s="118"/>
      <c r="R36" s="118"/>
      <c r="S36" s="119"/>
    </row>
    <row r="37" spans="2:19" s="7" customFormat="1" ht="22" x14ac:dyDescent="0.2">
      <c r="B37" s="46" t="s">
        <v>86</v>
      </c>
      <c r="C37" s="120"/>
      <c r="D37" s="121"/>
      <c r="E37" s="115" t="b">
        <v>0</v>
      </c>
      <c r="F37" s="116" t="b">
        <v>0</v>
      </c>
      <c r="G37" s="90">
        <v>46143</v>
      </c>
      <c r="H37" s="91"/>
      <c r="I37" s="91"/>
      <c r="J37" s="92"/>
      <c r="K37" s="117" t="s">
        <v>234</v>
      </c>
      <c r="L37" s="118"/>
      <c r="M37" s="118"/>
      <c r="N37" s="118"/>
      <c r="O37" s="118"/>
      <c r="P37" s="118"/>
      <c r="Q37" s="118"/>
      <c r="R37" s="118"/>
      <c r="S37" s="119"/>
    </row>
    <row r="38" spans="2:19" ht="23" thickBot="1" x14ac:dyDescent="0.25">
      <c r="B38" s="47" t="s">
        <v>136</v>
      </c>
      <c r="C38" s="122"/>
      <c r="D38" s="123"/>
      <c r="E38" s="124" t="b">
        <v>0</v>
      </c>
      <c r="F38" s="125" t="b">
        <v>0</v>
      </c>
      <c r="G38" s="126">
        <v>46266</v>
      </c>
      <c r="H38" s="127"/>
      <c r="I38" s="127"/>
      <c r="J38" s="128"/>
      <c r="K38" s="129"/>
      <c r="L38" s="130"/>
      <c r="M38" s="130"/>
      <c r="N38" s="130"/>
      <c r="O38" s="130"/>
      <c r="P38" s="130"/>
      <c r="Q38" s="130"/>
      <c r="R38" s="130"/>
      <c r="S38" s="131"/>
    </row>
    <row r="40" spans="2:19" ht="16" thickBot="1" x14ac:dyDescent="0.25"/>
    <row r="41" spans="2:19" ht="22" x14ac:dyDescent="0.3">
      <c r="B41" s="132" t="s">
        <v>97</v>
      </c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4"/>
    </row>
    <row r="42" spans="2:19" ht="19" x14ac:dyDescent="0.2">
      <c r="B42" s="76" t="s">
        <v>87</v>
      </c>
      <c r="C42" s="106" t="s">
        <v>88</v>
      </c>
      <c r="D42" s="107"/>
      <c r="E42" s="108" t="s">
        <v>89</v>
      </c>
      <c r="F42" s="109"/>
      <c r="G42" s="110" t="s">
        <v>94</v>
      </c>
      <c r="H42" s="111"/>
      <c r="I42" s="111"/>
      <c r="J42" s="112"/>
      <c r="K42" s="95" t="s">
        <v>91</v>
      </c>
      <c r="L42" s="95"/>
      <c r="M42" s="95"/>
      <c r="N42" s="95"/>
      <c r="O42" s="95"/>
      <c r="P42" s="95"/>
      <c r="Q42" s="95"/>
      <c r="R42" s="95"/>
      <c r="S42" s="113"/>
    </row>
    <row r="43" spans="2:19" ht="22" x14ac:dyDescent="0.2">
      <c r="B43" s="46" t="s">
        <v>74</v>
      </c>
      <c r="C43" s="103">
        <v>45931</v>
      </c>
      <c r="D43" s="114"/>
      <c r="E43" s="115" t="b">
        <v>1</v>
      </c>
      <c r="F43" s="116"/>
      <c r="G43" s="90">
        <v>46661</v>
      </c>
      <c r="H43" s="91"/>
      <c r="I43" s="91"/>
      <c r="J43" s="92"/>
      <c r="K43" s="93" t="s">
        <v>227</v>
      </c>
      <c r="L43" s="94"/>
      <c r="M43" s="94"/>
      <c r="N43" s="94"/>
      <c r="O43" s="94"/>
      <c r="P43" s="94"/>
      <c r="Q43" s="94"/>
      <c r="R43" s="94"/>
      <c r="S43" s="138"/>
    </row>
    <row r="44" spans="2:19" ht="22" x14ac:dyDescent="0.2">
      <c r="B44" s="46" t="s">
        <v>75</v>
      </c>
      <c r="C44" s="103">
        <v>45444</v>
      </c>
      <c r="D44" s="114"/>
      <c r="E44" s="115" t="b">
        <v>1</v>
      </c>
      <c r="F44" s="116"/>
      <c r="G44" s="90">
        <v>46174</v>
      </c>
      <c r="H44" s="91"/>
      <c r="I44" s="91"/>
      <c r="J44" s="92"/>
      <c r="K44" s="93"/>
      <c r="L44" s="94"/>
      <c r="M44" s="94"/>
      <c r="N44" s="94"/>
      <c r="O44" s="94"/>
      <c r="P44" s="94"/>
      <c r="Q44" s="94"/>
      <c r="R44" s="94"/>
      <c r="S44" s="138"/>
    </row>
    <row r="45" spans="2:19" ht="22" x14ac:dyDescent="0.2">
      <c r="B45" s="46" t="s">
        <v>76</v>
      </c>
      <c r="C45" s="103">
        <v>45658</v>
      </c>
      <c r="D45" s="114"/>
      <c r="E45" s="115" t="b">
        <v>1</v>
      </c>
      <c r="F45" s="116"/>
      <c r="G45" s="90">
        <v>46388</v>
      </c>
      <c r="H45" s="91"/>
      <c r="I45" s="91"/>
      <c r="J45" s="92"/>
      <c r="K45" s="93" t="s">
        <v>230</v>
      </c>
      <c r="L45" s="94"/>
      <c r="M45" s="94"/>
      <c r="N45" s="94"/>
      <c r="O45" s="94"/>
      <c r="P45" s="94"/>
      <c r="Q45" s="94"/>
      <c r="R45" s="94"/>
      <c r="S45" s="138"/>
    </row>
    <row r="46" spans="2:19" ht="22" x14ac:dyDescent="0.2">
      <c r="B46" s="46" t="s">
        <v>77</v>
      </c>
      <c r="C46" s="103">
        <v>45799</v>
      </c>
      <c r="D46" s="114"/>
      <c r="E46" s="115" t="b">
        <v>1</v>
      </c>
      <c r="F46" s="116"/>
      <c r="G46" s="90">
        <v>46508</v>
      </c>
      <c r="H46" s="91"/>
      <c r="I46" s="91"/>
      <c r="J46" s="92"/>
      <c r="K46" s="93"/>
      <c r="L46" s="94"/>
      <c r="M46" s="94"/>
      <c r="N46" s="94"/>
      <c r="O46" s="94"/>
      <c r="P46" s="94"/>
      <c r="Q46" s="94"/>
      <c r="R46" s="94"/>
      <c r="S46" s="138"/>
    </row>
    <row r="47" spans="2:19" ht="22" x14ac:dyDescent="0.2">
      <c r="B47" s="46" t="s">
        <v>92</v>
      </c>
      <c r="C47" s="103">
        <v>45981</v>
      </c>
      <c r="D47" s="114"/>
      <c r="E47" s="115" t="b">
        <v>1</v>
      </c>
      <c r="F47" s="116"/>
      <c r="G47" s="90">
        <v>46692</v>
      </c>
      <c r="H47" s="91"/>
      <c r="I47" s="91"/>
      <c r="J47" s="92"/>
      <c r="K47" s="93"/>
      <c r="L47" s="94"/>
      <c r="M47" s="94"/>
      <c r="N47" s="94"/>
      <c r="O47" s="94"/>
      <c r="P47" s="94"/>
      <c r="Q47" s="94"/>
      <c r="R47" s="94"/>
      <c r="S47" s="138"/>
    </row>
    <row r="48" spans="2:19" ht="22" x14ac:dyDescent="0.2">
      <c r="B48" s="46" t="s">
        <v>79</v>
      </c>
      <c r="C48" s="103">
        <v>46054</v>
      </c>
      <c r="D48" s="114"/>
      <c r="E48" s="115" t="b">
        <v>1</v>
      </c>
      <c r="F48" s="116"/>
      <c r="G48" s="90">
        <v>46784</v>
      </c>
      <c r="H48" s="91"/>
      <c r="I48" s="91"/>
      <c r="J48" s="92"/>
      <c r="K48" s="93" t="s">
        <v>229</v>
      </c>
      <c r="L48" s="94"/>
      <c r="M48" s="94"/>
      <c r="N48" s="94"/>
      <c r="O48" s="94"/>
      <c r="P48" s="94"/>
      <c r="Q48" s="94"/>
      <c r="R48" s="94"/>
      <c r="S48" s="138"/>
    </row>
    <row r="49" spans="2:19" ht="22" x14ac:dyDescent="0.2">
      <c r="B49" s="46" t="s">
        <v>80</v>
      </c>
      <c r="C49" s="103">
        <v>45444</v>
      </c>
      <c r="D49" s="114"/>
      <c r="E49" s="115" t="b">
        <v>1</v>
      </c>
      <c r="F49" s="116"/>
      <c r="G49" s="90">
        <v>46174</v>
      </c>
      <c r="H49" s="91"/>
      <c r="I49" s="91"/>
      <c r="J49" s="92"/>
      <c r="K49" s="93"/>
      <c r="L49" s="94"/>
      <c r="M49" s="94"/>
      <c r="N49" s="94"/>
      <c r="O49" s="94"/>
      <c r="P49" s="94"/>
      <c r="Q49" s="94"/>
      <c r="R49" s="94"/>
      <c r="S49" s="138"/>
    </row>
    <row r="50" spans="2:19" ht="22" x14ac:dyDescent="0.2">
      <c r="B50" s="46" t="s">
        <v>81</v>
      </c>
      <c r="C50" s="103">
        <v>45658</v>
      </c>
      <c r="D50" s="114"/>
      <c r="E50" s="115" t="b">
        <v>1</v>
      </c>
      <c r="F50" s="116"/>
      <c r="G50" s="90">
        <v>46388</v>
      </c>
      <c r="H50" s="91"/>
      <c r="I50" s="91"/>
      <c r="J50" s="92"/>
      <c r="K50" s="93"/>
      <c r="L50" s="94"/>
      <c r="M50" s="94"/>
      <c r="N50" s="94"/>
      <c r="O50" s="94"/>
      <c r="P50" s="94"/>
      <c r="Q50" s="94"/>
      <c r="R50" s="94"/>
      <c r="S50" s="138"/>
    </row>
    <row r="51" spans="2:19" ht="22" x14ac:dyDescent="0.2">
      <c r="B51" s="46" t="s">
        <v>82</v>
      </c>
      <c r="C51" s="103">
        <v>45778</v>
      </c>
      <c r="D51" s="114"/>
      <c r="E51" s="115" t="b">
        <v>1</v>
      </c>
      <c r="F51" s="116"/>
      <c r="G51" s="90">
        <v>46508</v>
      </c>
      <c r="H51" s="91"/>
      <c r="I51" s="91"/>
      <c r="J51" s="92"/>
      <c r="K51" s="93"/>
      <c r="L51" s="94"/>
      <c r="M51" s="94"/>
      <c r="N51" s="94"/>
      <c r="O51" s="94"/>
      <c r="P51" s="94"/>
      <c r="Q51" s="94"/>
      <c r="R51" s="94"/>
      <c r="S51" s="138"/>
    </row>
    <row r="52" spans="2:19" ht="22" x14ac:dyDescent="0.2">
      <c r="B52" s="46" t="s">
        <v>83</v>
      </c>
      <c r="C52" s="103">
        <v>45901</v>
      </c>
      <c r="D52" s="114"/>
      <c r="E52" s="115" t="b">
        <v>1</v>
      </c>
      <c r="F52" s="116"/>
      <c r="G52" s="90">
        <v>46631</v>
      </c>
      <c r="H52" s="91"/>
      <c r="I52" s="91"/>
      <c r="J52" s="92"/>
      <c r="K52" s="93" t="s">
        <v>205</v>
      </c>
      <c r="L52" s="94"/>
      <c r="M52" s="94"/>
      <c r="N52" s="94"/>
      <c r="O52" s="94"/>
      <c r="P52" s="94"/>
      <c r="Q52" s="94"/>
      <c r="R52" s="94"/>
      <c r="S52" s="138"/>
    </row>
    <row r="53" spans="2:19" ht="22" x14ac:dyDescent="0.2">
      <c r="B53" s="46" t="s">
        <v>84</v>
      </c>
      <c r="C53" s="103">
        <v>46023</v>
      </c>
      <c r="D53" s="114"/>
      <c r="E53" s="115" t="b">
        <v>1</v>
      </c>
      <c r="F53" s="116" t="b">
        <v>0</v>
      </c>
      <c r="G53" s="90">
        <v>46753</v>
      </c>
      <c r="H53" s="91"/>
      <c r="I53" s="91"/>
      <c r="J53" s="92"/>
      <c r="K53" s="93" t="s">
        <v>223</v>
      </c>
      <c r="L53" s="94"/>
      <c r="M53" s="94"/>
      <c r="N53" s="94"/>
      <c r="O53" s="94"/>
      <c r="P53" s="94"/>
      <c r="Q53" s="94"/>
      <c r="R53" s="94"/>
      <c r="S53" s="138"/>
    </row>
    <row r="54" spans="2:19" ht="22" x14ac:dyDescent="0.2">
      <c r="B54" s="46" t="s">
        <v>85</v>
      </c>
      <c r="C54" s="120"/>
      <c r="D54" s="121"/>
      <c r="E54" s="115" t="b">
        <v>0</v>
      </c>
      <c r="F54" s="116" t="b">
        <v>0</v>
      </c>
      <c r="G54" s="90">
        <v>46478</v>
      </c>
      <c r="H54" s="91"/>
      <c r="I54" s="91"/>
      <c r="J54" s="92"/>
      <c r="K54" s="93"/>
      <c r="L54" s="94"/>
      <c r="M54" s="94"/>
      <c r="N54" s="94"/>
      <c r="O54" s="94"/>
      <c r="P54" s="94"/>
      <c r="Q54" s="94"/>
      <c r="R54" s="94"/>
      <c r="S54" s="138"/>
    </row>
    <row r="55" spans="2:19" ht="22" x14ac:dyDescent="0.2">
      <c r="B55" s="46" t="s">
        <v>86</v>
      </c>
      <c r="C55" s="120"/>
      <c r="D55" s="121"/>
      <c r="E55" s="115" t="b">
        <v>0</v>
      </c>
      <c r="F55" s="116" t="b">
        <v>0</v>
      </c>
      <c r="G55" s="90">
        <v>46539</v>
      </c>
      <c r="H55" s="91"/>
      <c r="I55" s="91"/>
      <c r="J55" s="92"/>
      <c r="K55" s="93"/>
      <c r="L55" s="94"/>
      <c r="M55" s="94"/>
      <c r="N55" s="94"/>
      <c r="O55" s="94"/>
      <c r="P55" s="94"/>
      <c r="Q55" s="94"/>
      <c r="R55" s="94"/>
      <c r="S55" s="138"/>
    </row>
    <row r="56" spans="2:19" ht="23" thickBot="1" x14ac:dyDescent="0.25">
      <c r="B56" s="47" t="s">
        <v>136</v>
      </c>
      <c r="C56" s="122"/>
      <c r="D56" s="123"/>
      <c r="E56" s="124" t="b">
        <v>0</v>
      </c>
      <c r="F56" s="125" t="b">
        <v>0</v>
      </c>
      <c r="G56" s="126">
        <v>46631</v>
      </c>
      <c r="H56" s="127"/>
      <c r="I56" s="127"/>
      <c r="J56" s="128"/>
      <c r="K56" s="139"/>
      <c r="L56" s="140"/>
      <c r="M56" s="140"/>
      <c r="N56" s="140"/>
      <c r="O56" s="140"/>
      <c r="P56" s="140"/>
      <c r="Q56" s="140"/>
      <c r="R56" s="140"/>
      <c r="S56" s="141"/>
    </row>
  </sheetData>
  <mergeCells count="183">
    <mergeCell ref="C38:D38"/>
    <mergeCell ref="E38:F38"/>
    <mergeCell ref="G38:J38"/>
    <mergeCell ref="K38:S38"/>
    <mergeCell ref="C56:D56"/>
    <mergeCell ref="E56:F56"/>
    <mergeCell ref="G56:J56"/>
    <mergeCell ref="K56:S56"/>
    <mergeCell ref="C55:D55"/>
    <mergeCell ref="E55:F55"/>
    <mergeCell ref="G55:J55"/>
    <mergeCell ref="K55:S55"/>
    <mergeCell ref="C53:D53"/>
    <mergeCell ref="E53:F53"/>
    <mergeCell ref="G53:J53"/>
    <mergeCell ref="K53:S53"/>
    <mergeCell ref="C54:D54"/>
    <mergeCell ref="E54:F54"/>
    <mergeCell ref="G54:J54"/>
    <mergeCell ref="K54:S54"/>
    <mergeCell ref="C51:D51"/>
    <mergeCell ref="E51:F51"/>
    <mergeCell ref="G51:J51"/>
    <mergeCell ref="K51:S51"/>
    <mergeCell ref="C36:D36"/>
    <mergeCell ref="E36:F36"/>
    <mergeCell ref="G36:J36"/>
    <mergeCell ref="K36:S36"/>
    <mergeCell ref="C37:D37"/>
    <mergeCell ref="E37:F37"/>
    <mergeCell ref="G37:J37"/>
    <mergeCell ref="K37:S37"/>
    <mergeCell ref="C19:D19"/>
    <mergeCell ref="E19:F19"/>
    <mergeCell ref="G19:J19"/>
    <mergeCell ref="K19:S19"/>
    <mergeCell ref="C35:D35"/>
    <mergeCell ref="E35:F35"/>
    <mergeCell ref="G35:J35"/>
    <mergeCell ref="K35:S35"/>
    <mergeCell ref="C34:D34"/>
    <mergeCell ref="E34:F34"/>
    <mergeCell ref="G34:J34"/>
    <mergeCell ref="K34:S34"/>
    <mergeCell ref="G27:J27"/>
    <mergeCell ref="K27:S27"/>
    <mergeCell ref="C28:D28"/>
    <mergeCell ref="E28:F28"/>
    <mergeCell ref="C52:D52"/>
    <mergeCell ref="E52:F52"/>
    <mergeCell ref="G52:J52"/>
    <mergeCell ref="K52:S52"/>
    <mergeCell ref="C49:D49"/>
    <mergeCell ref="E49:F49"/>
    <mergeCell ref="G49:J49"/>
    <mergeCell ref="K49:S49"/>
    <mergeCell ref="C50:D50"/>
    <mergeCell ref="E50:F50"/>
    <mergeCell ref="G50:J50"/>
    <mergeCell ref="K50:S50"/>
    <mergeCell ref="C47:D47"/>
    <mergeCell ref="E47:F47"/>
    <mergeCell ref="G47:J47"/>
    <mergeCell ref="K47:S47"/>
    <mergeCell ref="C48:D48"/>
    <mergeCell ref="E48:F48"/>
    <mergeCell ref="G48:J48"/>
    <mergeCell ref="K48:S48"/>
    <mergeCell ref="C45:D45"/>
    <mergeCell ref="E45:F45"/>
    <mergeCell ref="G45:J45"/>
    <mergeCell ref="K45:S45"/>
    <mergeCell ref="C46:D46"/>
    <mergeCell ref="E46:F46"/>
    <mergeCell ref="G46:J46"/>
    <mergeCell ref="K46:S46"/>
    <mergeCell ref="C43:D43"/>
    <mergeCell ref="E43:F43"/>
    <mergeCell ref="G43:J43"/>
    <mergeCell ref="K43:S43"/>
    <mergeCell ref="C44:D44"/>
    <mergeCell ref="E44:F44"/>
    <mergeCell ref="G44:J44"/>
    <mergeCell ref="K44:S44"/>
    <mergeCell ref="B41:S41"/>
    <mergeCell ref="C42:D42"/>
    <mergeCell ref="E42:F42"/>
    <mergeCell ref="G42:J42"/>
    <mergeCell ref="K42:S42"/>
    <mergeCell ref="B5:S5"/>
    <mergeCell ref="B23:S23"/>
    <mergeCell ref="C33:D33"/>
    <mergeCell ref="E33:F33"/>
    <mergeCell ref="G33:J33"/>
    <mergeCell ref="K33:S33"/>
    <mergeCell ref="C29:D29"/>
    <mergeCell ref="E29:F29"/>
    <mergeCell ref="G29:J29"/>
    <mergeCell ref="K29:S29"/>
    <mergeCell ref="C30:D30"/>
    <mergeCell ref="E30:F30"/>
    <mergeCell ref="G30:J30"/>
    <mergeCell ref="K30:S30"/>
    <mergeCell ref="C27:D27"/>
    <mergeCell ref="E27:F27"/>
    <mergeCell ref="C31:D31"/>
    <mergeCell ref="E31:F31"/>
    <mergeCell ref="G31:J31"/>
    <mergeCell ref="K31:S31"/>
    <mergeCell ref="C32:D32"/>
    <mergeCell ref="E32:F32"/>
    <mergeCell ref="G32:J32"/>
    <mergeCell ref="K32:S32"/>
    <mergeCell ref="G28:J28"/>
    <mergeCell ref="K28:S28"/>
    <mergeCell ref="C25:D25"/>
    <mergeCell ref="E25:F25"/>
    <mergeCell ref="G25:J25"/>
    <mergeCell ref="K25:S25"/>
    <mergeCell ref="C26:D26"/>
    <mergeCell ref="E26:F26"/>
    <mergeCell ref="G26:J26"/>
    <mergeCell ref="K26:S26"/>
    <mergeCell ref="C16:D16"/>
    <mergeCell ref="E16:F16"/>
    <mergeCell ref="G16:J16"/>
    <mergeCell ref="K16:S16"/>
    <mergeCell ref="C24:D24"/>
    <mergeCell ref="E24:F24"/>
    <mergeCell ref="G24:J24"/>
    <mergeCell ref="K24:S24"/>
    <mergeCell ref="C17:D17"/>
    <mergeCell ref="E17:F17"/>
    <mergeCell ref="G17:J17"/>
    <mergeCell ref="K17:S17"/>
    <mergeCell ref="C18:D18"/>
    <mergeCell ref="E18:F18"/>
    <mergeCell ref="G18:J18"/>
    <mergeCell ref="K18:S18"/>
    <mergeCell ref="C20:D20"/>
    <mergeCell ref="E20:F20"/>
    <mergeCell ref="G20:J20"/>
    <mergeCell ref="K20:S20"/>
    <mergeCell ref="C14:D14"/>
    <mergeCell ref="E14:F14"/>
    <mergeCell ref="G14:J14"/>
    <mergeCell ref="K14:S14"/>
    <mergeCell ref="C15:D15"/>
    <mergeCell ref="E15:F15"/>
    <mergeCell ref="G15:J15"/>
    <mergeCell ref="K15:S15"/>
    <mergeCell ref="C12:D12"/>
    <mergeCell ref="E12:F12"/>
    <mergeCell ref="G12:J12"/>
    <mergeCell ref="K12:S12"/>
    <mergeCell ref="C13:D13"/>
    <mergeCell ref="E13:F13"/>
    <mergeCell ref="G13:J13"/>
    <mergeCell ref="K13:S13"/>
    <mergeCell ref="C11:D11"/>
    <mergeCell ref="E11:F11"/>
    <mergeCell ref="G11:J11"/>
    <mergeCell ref="K11:S11"/>
    <mergeCell ref="C8:D8"/>
    <mergeCell ref="E8:F8"/>
    <mergeCell ref="G8:J8"/>
    <mergeCell ref="K8:S8"/>
    <mergeCell ref="C9:D9"/>
    <mergeCell ref="E9:F9"/>
    <mergeCell ref="G9:J9"/>
    <mergeCell ref="K9:S9"/>
    <mergeCell ref="C6:D6"/>
    <mergeCell ref="E6:F6"/>
    <mergeCell ref="G6:J6"/>
    <mergeCell ref="K6:S6"/>
    <mergeCell ref="C7:D7"/>
    <mergeCell ref="E7:F7"/>
    <mergeCell ref="G7:J7"/>
    <mergeCell ref="K7:S7"/>
    <mergeCell ref="C10:D10"/>
    <mergeCell ref="E10:F10"/>
    <mergeCell ref="G10:J10"/>
    <mergeCell ref="K10:S10"/>
  </mergeCells>
  <conditionalFormatting sqref="G43:G56">
    <cfRule type="cellIs" dxfId="20" priority="16" stopIfTrue="1" operator="greaterThanOrEqual">
      <formula>$R$2</formula>
    </cfRule>
    <cfRule type="cellIs" dxfId="19" priority="17" stopIfTrue="1" operator="lessThanOrEqual">
      <formula>$R$2</formula>
    </cfRule>
    <cfRule type="containsBlanks" dxfId="18" priority="18" stopIfTrue="1">
      <formula>LEN(TRIM(G43))=0</formula>
    </cfRule>
  </conditionalFormatting>
  <conditionalFormatting sqref="K43:K56">
    <cfRule type="containsText" dxfId="17" priority="7" operator="containsText" text="Effettuato">
      <formula>NOT(ISERROR(SEARCH("Effettuato",K43)))</formula>
    </cfRule>
    <cfRule type="containsText" dxfId="16" priority="8" operator="containsText" text="Programmato">
      <formula>NOT(ISERROR(SEARCH("Programmato",K43)))</formula>
    </cfRule>
    <cfRule type="containsBlanks" dxfId="15" priority="9">
      <formula>LEN(TRIM(K43))=0</formula>
    </cfRule>
  </conditionalFormatting>
  <conditionalFormatting sqref="K7:S20">
    <cfRule type="containsText" dxfId="14" priority="1" operator="containsText" text="Programmato">
      <formula>NOT(ISERROR(SEARCH("Programmato",K7)))</formula>
    </cfRule>
    <cfRule type="containsText" dxfId="13" priority="2" operator="containsText" text="Effettuato">
      <formula>NOT(ISERROR(SEARCH("Effettuato",K7)))</formula>
    </cfRule>
  </conditionalFormatting>
  <conditionalFormatting sqref="K25:S38">
    <cfRule type="containsText" dxfId="12" priority="3" operator="containsText" text="Programmato">
      <formula>NOT(ISERROR(SEARCH("Programmato",K25)))</formula>
    </cfRule>
    <cfRule type="containsText" dxfId="11" priority="4" operator="containsText" text="Effettuato">
      <formula>NOT(ISERROR(SEARCH("Effettuato",K25)))</formula>
    </cfRule>
  </conditionalFormatting>
  <pageMargins left="0.7" right="0.7" top="0.75" bottom="0.75" header="0.3" footer="0.3"/>
  <pageSetup paperSize="9" orientation="portrait" r:id="rId1"/>
  <headerFooter>
    <oddFooter>&amp;C_x000D_&amp;1#&amp;"Aptos"&amp;10&amp;K000000 This document is classified as EOLO - C2 General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507B2-DCF2-4AEA-856B-C9879EC0C44B}">
  <dimension ref="B3:W28"/>
  <sheetViews>
    <sheetView workbookViewId="0">
      <selection activeCell="K18" sqref="K18:S18"/>
    </sheetView>
  </sheetViews>
  <sheetFormatPr baseColWidth="10" defaultColWidth="8.6640625" defaultRowHeight="15" x14ac:dyDescent="0.2"/>
  <cols>
    <col min="2" max="2" width="12.1640625" customWidth="1"/>
    <col min="4" max="4" width="14.6640625" customWidth="1"/>
    <col min="6" max="6" width="11.5" customWidth="1"/>
    <col min="10" max="10" width="11" customWidth="1"/>
  </cols>
  <sheetData>
    <row r="3" spans="2:23" x14ac:dyDescent="0.2">
      <c r="M3" s="73">
        <f ca="1">TODAY()</f>
        <v>46146</v>
      </c>
    </row>
    <row r="12" spans="2:23" ht="16" thickBot="1" x14ac:dyDescent="0.25"/>
    <row r="13" spans="2:23" s="7" customFormat="1" ht="19" x14ac:dyDescent="0.2">
      <c r="B13" s="77" t="s">
        <v>87</v>
      </c>
      <c r="C13" s="151" t="s">
        <v>98</v>
      </c>
      <c r="D13" s="151"/>
      <c r="E13" s="152" t="s">
        <v>89</v>
      </c>
      <c r="F13" s="152"/>
      <c r="G13" s="153" t="s">
        <v>96</v>
      </c>
      <c r="H13" s="153"/>
      <c r="I13" s="153"/>
      <c r="J13" s="153"/>
      <c r="K13" s="151" t="s">
        <v>91</v>
      </c>
      <c r="L13" s="151"/>
      <c r="M13" s="151"/>
      <c r="N13" s="151"/>
      <c r="O13" s="151"/>
      <c r="P13" s="151"/>
      <c r="Q13" s="151"/>
      <c r="R13" s="151"/>
      <c r="S13" s="154"/>
      <c r="W13" s="1"/>
    </row>
    <row r="14" spans="2:23" s="7" customFormat="1" ht="24" customHeight="1" x14ac:dyDescent="0.2">
      <c r="B14" s="46" t="s">
        <v>74</v>
      </c>
      <c r="C14" s="98">
        <v>45901</v>
      </c>
      <c r="D14" s="99"/>
      <c r="E14" s="89" t="b">
        <v>1</v>
      </c>
      <c r="F14" s="89"/>
      <c r="G14" s="90">
        <v>46266</v>
      </c>
      <c r="H14" s="91"/>
      <c r="I14" s="91"/>
      <c r="J14" s="92"/>
      <c r="K14" s="155"/>
      <c r="L14" s="155"/>
      <c r="M14" s="155"/>
      <c r="N14" s="155"/>
      <c r="O14" s="155"/>
      <c r="P14" s="155"/>
      <c r="Q14" s="155"/>
      <c r="R14" s="155"/>
      <c r="S14" s="156"/>
      <c r="W14" s="1"/>
    </row>
    <row r="15" spans="2:23" s="7" customFormat="1" ht="24" customHeight="1" x14ac:dyDescent="0.2">
      <c r="B15" s="46" t="s">
        <v>75</v>
      </c>
      <c r="C15" s="98">
        <v>45801</v>
      </c>
      <c r="D15" s="99"/>
      <c r="E15" s="89" t="b">
        <v>1</v>
      </c>
      <c r="F15" s="89"/>
      <c r="G15" s="90">
        <v>46143</v>
      </c>
      <c r="H15" s="91"/>
      <c r="I15" s="91"/>
      <c r="J15" s="92"/>
      <c r="K15" s="144" t="s">
        <v>243</v>
      </c>
      <c r="L15" s="144"/>
      <c r="M15" s="144"/>
      <c r="N15" s="144"/>
      <c r="O15" s="144"/>
      <c r="P15" s="144"/>
      <c r="Q15" s="144"/>
      <c r="R15" s="144"/>
      <c r="S15" s="145"/>
      <c r="W15" s="1"/>
    </row>
    <row r="16" spans="2:23" s="7" customFormat="1" ht="24" customHeight="1" x14ac:dyDescent="0.2">
      <c r="B16" s="46" t="s">
        <v>76</v>
      </c>
      <c r="C16" s="98">
        <v>45979</v>
      </c>
      <c r="D16" s="99"/>
      <c r="E16" s="89" t="b">
        <v>1</v>
      </c>
      <c r="F16" s="89"/>
      <c r="G16" s="90">
        <v>46327</v>
      </c>
      <c r="H16" s="91"/>
      <c r="I16" s="91"/>
      <c r="J16" s="92"/>
      <c r="K16" s="144" t="s">
        <v>154</v>
      </c>
      <c r="L16" s="144"/>
      <c r="M16" s="144"/>
      <c r="N16" s="144"/>
      <c r="O16" s="144"/>
      <c r="P16" s="144"/>
      <c r="Q16" s="144"/>
      <c r="R16" s="144"/>
      <c r="S16" s="145"/>
      <c r="W16" s="1"/>
    </row>
    <row r="17" spans="2:23" s="7" customFormat="1" ht="24" customHeight="1" x14ac:dyDescent="0.2">
      <c r="B17" s="46" t="s">
        <v>77</v>
      </c>
      <c r="C17" s="98">
        <v>45829</v>
      </c>
      <c r="D17" s="99"/>
      <c r="E17" s="89" t="b">
        <v>1</v>
      </c>
      <c r="F17" s="89"/>
      <c r="G17" s="90">
        <v>46194</v>
      </c>
      <c r="H17" s="91"/>
      <c r="I17" s="91"/>
      <c r="J17" s="92"/>
      <c r="K17" s="144" t="s">
        <v>241</v>
      </c>
      <c r="L17" s="144"/>
      <c r="M17" s="144"/>
      <c r="N17" s="144"/>
      <c r="O17" s="144"/>
      <c r="P17" s="144"/>
      <c r="Q17" s="144"/>
      <c r="R17" s="144"/>
      <c r="S17" s="145"/>
      <c r="W17" s="1"/>
    </row>
    <row r="18" spans="2:23" s="7" customFormat="1" ht="24" customHeight="1" x14ac:dyDescent="0.2">
      <c r="B18" s="46" t="s">
        <v>92</v>
      </c>
      <c r="C18" s="98">
        <v>45979</v>
      </c>
      <c r="D18" s="99"/>
      <c r="E18" s="89" t="b">
        <v>1</v>
      </c>
      <c r="F18" s="89"/>
      <c r="G18" s="90">
        <v>46327</v>
      </c>
      <c r="H18" s="91"/>
      <c r="I18" s="91"/>
      <c r="J18" s="92"/>
      <c r="K18" s="144" t="s">
        <v>153</v>
      </c>
      <c r="L18" s="144"/>
      <c r="M18" s="144"/>
      <c r="N18" s="144"/>
      <c r="O18" s="144"/>
      <c r="P18" s="144"/>
      <c r="Q18" s="144"/>
      <c r="R18" s="144"/>
      <c r="S18" s="145"/>
    </row>
    <row r="19" spans="2:23" s="7" customFormat="1" ht="24" customHeight="1" x14ac:dyDescent="0.2">
      <c r="B19" s="46" t="s">
        <v>79</v>
      </c>
      <c r="C19" s="98">
        <v>46054</v>
      </c>
      <c r="D19" s="99"/>
      <c r="E19" s="89" t="b">
        <v>1</v>
      </c>
      <c r="F19" s="89"/>
      <c r="G19" s="90">
        <v>46419</v>
      </c>
      <c r="H19" s="91"/>
      <c r="I19" s="91"/>
      <c r="J19" s="92"/>
      <c r="K19" s="144" t="s">
        <v>211</v>
      </c>
      <c r="L19" s="144"/>
      <c r="M19" s="144"/>
      <c r="N19" s="144"/>
      <c r="O19" s="144"/>
      <c r="P19" s="144"/>
      <c r="Q19" s="144"/>
      <c r="R19" s="144"/>
      <c r="S19" s="145"/>
    </row>
    <row r="20" spans="2:23" s="7" customFormat="1" ht="24" customHeight="1" x14ac:dyDescent="0.2">
      <c r="B20" s="46" t="s">
        <v>80</v>
      </c>
      <c r="C20" s="98">
        <v>45809</v>
      </c>
      <c r="D20" s="99"/>
      <c r="E20" s="89" t="b">
        <v>1</v>
      </c>
      <c r="F20" s="89"/>
      <c r="G20" s="90">
        <v>46174</v>
      </c>
      <c r="H20" s="91"/>
      <c r="I20" s="91"/>
      <c r="J20" s="92"/>
      <c r="K20" s="144" t="s">
        <v>241</v>
      </c>
      <c r="L20" s="144"/>
      <c r="M20" s="144"/>
      <c r="N20" s="144"/>
      <c r="O20" s="144"/>
      <c r="P20" s="144"/>
      <c r="Q20" s="144"/>
      <c r="R20" s="144"/>
      <c r="S20" s="145"/>
    </row>
    <row r="21" spans="2:23" s="7" customFormat="1" ht="24" customHeight="1" x14ac:dyDescent="0.2">
      <c r="B21" s="46" t="s">
        <v>81</v>
      </c>
      <c r="C21" s="98">
        <v>45992</v>
      </c>
      <c r="D21" s="99"/>
      <c r="E21" s="89" t="b">
        <v>1</v>
      </c>
      <c r="F21" s="89"/>
      <c r="G21" s="90">
        <v>46357</v>
      </c>
      <c r="H21" s="91"/>
      <c r="I21" s="91"/>
      <c r="J21" s="92"/>
      <c r="K21" s="144" t="s">
        <v>151</v>
      </c>
      <c r="L21" s="144"/>
      <c r="M21" s="144"/>
      <c r="N21" s="144"/>
      <c r="O21" s="144"/>
      <c r="P21" s="144"/>
      <c r="Q21" s="144"/>
      <c r="R21" s="144"/>
      <c r="S21" s="145"/>
    </row>
    <row r="22" spans="2:23" s="7" customFormat="1" ht="24" customHeight="1" x14ac:dyDescent="0.2">
      <c r="B22" s="46" t="s">
        <v>82</v>
      </c>
      <c r="C22" s="98">
        <v>45778</v>
      </c>
      <c r="D22" s="99"/>
      <c r="E22" s="89" t="b">
        <v>1</v>
      </c>
      <c r="F22" s="89"/>
      <c r="G22" s="90">
        <v>46143</v>
      </c>
      <c r="H22" s="91"/>
      <c r="I22" s="91"/>
      <c r="J22" s="92"/>
      <c r="K22" s="144" t="s">
        <v>243</v>
      </c>
      <c r="L22" s="144"/>
      <c r="M22" s="144"/>
      <c r="N22" s="144"/>
      <c r="O22" s="144"/>
      <c r="P22" s="144"/>
      <c r="Q22" s="144"/>
      <c r="R22" s="144"/>
      <c r="S22" s="145"/>
    </row>
    <row r="23" spans="2:23" s="7" customFormat="1" ht="24" customHeight="1" x14ac:dyDescent="0.2">
      <c r="B23" s="46" t="s">
        <v>83</v>
      </c>
      <c r="C23" s="98">
        <v>45901</v>
      </c>
      <c r="D23" s="99"/>
      <c r="E23" s="89" t="b">
        <v>1</v>
      </c>
      <c r="F23" s="89"/>
      <c r="G23" s="90">
        <v>46266</v>
      </c>
      <c r="H23" s="91"/>
      <c r="I23" s="91"/>
      <c r="J23" s="92"/>
      <c r="K23" s="144" t="s">
        <v>155</v>
      </c>
      <c r="L23" s="144"/>
      <c r="M23" s="144"/>
      <c r="N23" s="144"/>
      <c r="O23" s="144"/>
      <c r="P23" s="144"/>
      <c r="Q23" s="144"/>
      <c r="R23" s="144"/>
      <c r="S23" s="145"/>
    </row>
    <row r="24" spans="2:23" ht="22" x14ac:dyDescent="0.2">
      <c r="B24" s="46" t="s">
        <v>84</v>
      </c>
      <c r="C24" s="98">
        <v>46023</v>
      </c>
      <c r="D24" s="99"/>
      <c r="E24" s="89" t="b">
        <v>1</v>
      </c>
      <c r="F24" s="89"/>
      <c r="G24" s="90">
        <v>46388</v>
      </c>
      <c r="H24" s="91"/>
      <c r="I24" s="91"/>
      <c r="J24" s="92"/>
      <c r="K24" s="144" t="s">
        <v>167</v>
      </c>
      <c r="L24" s="144"/>
      <c r="M24" s="144"/>
      <c r="N24" s="144"/>
      <c r="O24" s="144"/>
      <c r="P24" s="144"/>
      <c r="Q24" s="144"/>
      <c r="R24" s="144"/>
      <c r="S24" s="145"/>
    </row>
    <row r="25" spans="2:23" ht="22" x14ac:dyDescent="0.2">
      <c r="B25" s="46" t="s">
        <v>85</v>
      </c>
      <c r="C25" s="98">
        <v>46082</v>
      </c>
      <c r="D25" s="99"/>
      <c r="E25" s="89" t="b">
        <v>1</v>
      </c>
      <c r="F25" s="89"/>
      <c r="G25" s="90">
        <v>46447</v>
      </c>
      <c r="H25" s="91"/>
      <c r="I25" s="91"/>
      <c r="J25" s="92"/>
      <c r="K25" s="144" t="s">
        <v>214</v>
      </c>
      <c r="L25" s="144"/>
      <c r="M25" s="144"/>
      <c r="N25" s="144"/>
      <c r="O25" s="144"/>
      <c r="P25" s="144"/>
      <c r="Q25" s="144"/>
      <c r="R25" s="144"/>
      <c r="S25" s="145"/>
    </row>
    <row r="26" spans="2:23" ht="22" x14ac:dyDescent="0.2">
      <c r="B26" s="46" t="s">
        <v>86</v>
      </c>
      <c r="C26" s="142"/>
      <c r="D26" s="143"/>
      <c r="E26" s="89" t="b">
        <v>0</v>
      </c>
      <c r="F26" s="89"/>
      <c r="G26" s="90">
        <v>46174</v>
      </c>
      <c r="H26" s="91"/>
      <c r="I26" s="91"/>
      <c r="J26" s="92"/>
      <c r="K26" s="144" t="s">
        <v>240</v>
      </c>
      <c r="L26" s="144"/>
      <c r="M26" s="144"/>
      <c r="N26" s="144"/>
      <c r="O26" s="144"/>
      <c r="P26" s="144"/>
      <c r="Q26" s="144"/>
      <c r="R26" s="144"/>
      <c r="S26" s="145"/>
    </row>
    <row r="27" spans="2:23" ht="23" thickBot="1" x14ac:dyDescent="0.25">
      <c r="B27" s="47" t="s">
        <v>136</v>
      </c>
      <c r="C27" s="146"/>
      <c r="D27" s="147"/>
      <c r="E27" s="148" t="b">
        <v>0</v>
      </c>
      <c r="F27" s="148"/>
      <c r="G27" s="126">
        <v>46296</v>
      </c>
      <c r="H27" s="127"/>
      <c r="I27" s="127"/>
      <c r="J27" s="128"/>
      <c r="K27" s="149"/>
      <c r="L27" s="149"/>
      <c r="M27" s="149"/>
      <c r="N27" s="149"/>
      <c r="O27" s="149"/>
      <c r="P27" s="149"/>
      <c r="Q27" s="149"/>
      <c r="R27" s="149"/>
      <c r="S27" s="150"/>
    </row>
    <row r="28" spans="2:23" x14ac:dyDescent="0.2">
      <c r="J28" s="27"/>
    </row>
  </sheetData>
  <mergeCells count="60">
    <mergeCell ref="C27:D27"/>
    <mergeCell ref="E27:F27"/>
    <mergeCell ref="G27:J27"/>
    <mergeCell ref="K27:S27"/>
    <mergeCell ref="C13:D13"/>
    <mergeCell ref="E13:F13"/>
    <mergeCell ref="G13:J13"/>
    <mergeCell ref="K13:S13"/>
    <mergeCell ref="C14:D14"/>
    <mergeCell ref="E14:F14"/>
    <mergeCell ref="G14:J14"/>
    <mergeCell ref="K14:S14"/>
    <mergeCell ref="C15:D15"/>
    <mergeCell ref="E15:F15"/>
    <mergeCell ref="G15:J15"/>
    <mergeCell ref="K15:S15"/>
    <mergeCell ref="C16:D16"/>
    <mergeCell ref="E16:F16"/>
    <mergeCell ref="G16:J16"/>
    <mergeCell ref="K16:S16"/>
    <mergeCell ref="C17:D17"/>
    <mergeCell ref="E17:F17"/>
    <mergeCell ref="G17:J17"/>
    <mergeCell ref="K17:S17"/>
    <mergeCell ref="C18:D18"/>
    <mergeCell ref="E18:F18"/>
    <mergeCell ref="G18:J18"/>
    <mergeCell ref="K18:S18"/>
    <mergeCell ref="C19:D19"/>
    <mergeCell ref="E19:F19"/>
    <mergeCell ref="G19:J19"/>
    <mergeCell ref="K19:S19"/>
    <mergeCell ref="C20:D20"/>
    <mergeCell ref="E20:F20"/>
    <mergeCell ref="G20:J20"/>
    <mergeCell ref="K20:S20"/>
    <mergeCell ref="C23:D23"/>
    <mergeCell ref="E23:F23"/>
    <mergeCell ref="G23:J23"/>
    <mergeCell ref="K23:S23"/>
    <mergeCell ref="C21:D21"/>
    <mergeCell ref="E21:F21"/>
    <mergeCell ref="G21:J21"/>
    <mergeCell ref="K21:S21"/>
    <mergeCell ref="C22:D22"/>
    <mergeCell ref="E22:F22"/>
    <mergeCell ref="G22:J22"/>
    <mergeCell ref="K22:S22"/>
    <mergeCell ref="C26:D26"/>
    <mergeCell ref="E26:F26"/>
    <mergeCell ref="G26:J26"/>
    <mergeCell ref="K26:S26"/>
    <mergeCell ref="C24:D24"/>
    <mergeCell ref="E24:F24"/>
    <mergeCell ref="G24:J24"/>
    <mergeCell ref="K24:S24"/>
    <mergeCell ref="C25:D25"/>
    <mergeCell ref="E25:F25"/>
    <mergeCell ref="G25:J25"/>
    <mergeCell ref="K25:S25"/>
  </mergeCells>
  <conditionalFormatting sqref="G14:G27">
    <cfRule type="cellIs" dxfId="10" priority="3" stopIfTrue="1" operator="greaterThanOrEqual">
      <formula>$M$3</formula>
    </cfRule>
    <cfRule type="cellIs" dxfId="9" priority="4" stopIfTrue="1" operator="lessThanOrEqual">
      <formula>$R$2+$M$3</formula>
    </cfRule>
    <cfRule type="containsBlanks" dxfId="8" priority="5" stopIfTrue="1">
      <formula>LEN(TRIM(G14))=0</formula>
    </cfRule>
  </conditionalFormatting>
  <conditionalFormatting sqref="K14:S27">
    <cfRule type="containsText" dxfId="7" priority="1" operator="containsText" text="Programmato">
      <formula>NOT(ISERROR(SEARCH("Programmato",K14)))</formula>
    </cfRule>
    <cfRule type="containsText" dxfId="6" priority="2" operator="containsText" text="Effettuato">
      <formula>NOT(ISERROR(SEARCH("Effettuato",K14)))</formula>
    </cfRule>
  </conditionalFormatting>
  <pageMargins left="0.7" right="0.7" top="0.75" bottom="0.75" header="0.3" footer="0.3"/>
  <pageSetup paperSize="9" orientation="portrait" r:id="rId1"/>
  <headerFooter>
    <oddFooter>&amp;C_x000D_&amp;1#&amp;"Aptos"&amp;10&amp;K000000 This document is classified as EOLO - C2 General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41928-340E-42EF-8D1C-576163713E19}">
  <dimension ref="B2:F18"/>
  <sheetViews>
    <sheetView workbookViewId="0">
      <selection activeCell="G20" sqref="G20"/>
    </sheetView>
  </sheetViews>
  <sheetFormatPr baseColWidth="10" defaultColWidth="8.83203125" defaultRowHeight="15" x14ac:dyDescent="0.2"/>
  <cols>
    <col min="2" max="2" width="14.33203125" customWidth="1"/>
    <col min="3" max="3" width="21.1640625" customWidth="1"/>
    <col min="4" max="4" width="13.83203125" customWidth="1"/>
    <col min="6" max="6" width="8.83203125" customWidth="1"/>
  </cols>
  <sheetData>
    <row r="2" spans="2:6" ht="16" thickBot="1" x14ac:dyDescent="0.25"/>
    <row r="3" spans="2:6" ht="25" thickBot="1" x14ac:dyDescent="0.25">
      <c r="B3" s="157" t="s">
        <v>132</v>
      </c>
      <c r="C3" s="158"/>
      <c r="F3" s="73">
        <f ca="1">TODAY()</f>
        <v>46146</v>
      </c>
    </row>
    <row r="4" spans="2:6" ht="20" thickBot="1" x14ac:dyDescent="0.25">
      <c r="B4" s="66" t="s">
        <v>133</v>
      </c>
      <c r="C4" s="70" t="s">
        <v>100</v>
      </c>
      <c r="D4" s="45"/>
    </row>
    <row r="5" spans="2:6" ht="19" x14ac:dyDescent="0.2">
      <c r="B5" s="28" t="s">
        <v>74</v>
      </c>
      <c r="C5" s="74">
        <v>46813</v>
      </c>
      <c r="D5" s="29"/>
    </row>
    <row r="6" spans="2:6" ht="19" x14ac:dyDescent="0.2">
      <c r="B6" s="30" t="s">
        <v>75</v>
      </c>
      <c r="C6" s="74">
        <v>46753</v>
      </c>
    </row>
    <row r="7" spans="2:6" ht="19" x14ac:dyDescent="0.2">
      <c r="B7" s="78" t="s">
        <v>76</v>
      </c>
      <c r="C7" s="74">
        <v>46143</v>
      </c>
    </row>
    <row r="8" spans="2:6" ht="19" x14ac:dyDescent="0.2">
      <c r="B8" s="30" t="s">
        <v>77</v>
      </c>
      <c r="C8" s="74">
        <v>46661</v>
      </c>
    </row>
    <row r="9" spans="2:6" ht="19" x14ac:dyDescent="0.2">
      <c r="B9" s="30" t="s">
        <v>78</v>
      </c>
      <c r="C9" s="74">
        <v>46327</v>
      </c>
    </row>
    <row r="10" spans="2:6" ht="19" x14ac:dyDescent="0.2">
      <c r="B10" s="30" t="s">
        <v>79</v>
      </c>
      <c r="C10" s="74">
        <v>46569</v>
      </c>
    </row>
    <row r="11" spans="2:6" ht="19" x14ac:dyDescent="0.2">
      <c r="B11" s="30" t="s">
        <v>80</v>
      </c>
      <c r="C11" s="74">
        <v>46569</v>
      </c>
    </row>
    <row r="12" spans="2:6" ht="19" x14ac:dyDescent="0.2">
      <c r="B12" s="30" t="s">
        <v>81</v>
      </c>
      <c r="C12" s="74">
        <v>46447</v>
      </c>
    </row>
    <row r="13" spans="2:6" ht="19" x14ac:dyDescent="0.2">
      <c r="B13" s="78" t="s">
        <v>134</v>
      </c>
      <c r="C13" s="74">
        <v>46143</v>
      </c>
    </row>
    <row r="14" spans="2:6" ht="19" x14ac:dyDescent="0.2">
      <c r="B14" s="30" t="s">
        <v>83</v>
      </c>
      <c r="C14" s="74">
        <v>46296</v>
      </c>
    </row>
    <row r="15" spans="2:6" ht="19" x14ac:dyDescent="0.2">
      <c r="B15" s="30" t="s">
        <v>84</v>
      </c>
      <c r="C15" s="74">
        <v>46388</v>
      </c>
    </row>
    <row r="16" spans="2:6" ht="19" x14ac:dyDescent="0.2">
      <c r="B16" s="30" t="s">
        <v>85</v>
      </c>
      <c r="C16" s="74">
        <v>46447</v>
      </c>
    </row>
    <row r="17" spans="2:3" ht="19" x14ac:dyDescent="0.2">
      <c r="B17" s="30" t="s">
        <v>86</v>
      </c>
      <c r="C17" s="74">
        <v>46539</v>
      </c>
    </row>
    <row r="18" spans="2:3" ht="20" thickBot="1" x14ac:dyDescent="0.25">
      <c r="B18" s="34" t="s">
        <v>136</v>
      </c>
      <c r="C18" s="75">
        <v>46631</v>
      </c>
    </row>
  </sheetData>
  <autoFilter ref="B4:C18" xr:uid="{84841928-340E-42EF-8D1C-576163713E19}"/>
  <mergeCells count="1">
    <mergeCell ref="B3:C3"/>
  </mergeCells>
  <conditionalFormatting sqref="C5:C18">
    <cfRule type="cellIs" dxfId="5" priority="1" stopIfTrue="1" operator="greaterThanOrEqual">
      <formula>$F$3</formula>
    </cfRule>
    <cfRule type="cellIs" dxfId="4" priority="2" stopIfTrue="1" operator="lessThanOrEqual">
      <formula>$F$3</formula>
    </cfRule>
    <cfRule type="containsBlanks" dxfId="3" priority="3" stopIfTrue="1">
      <formula>LEN(TRIM(C5))=0</formula>
    </cfRule>
  </conditionalFormatting>
  <pageMargins left="0.7" right="0.7" top="0.75" bottom="0.75" header="0.3" footer="0.3"/>
  <headerFooter>
    <oddFooter>&amp;C_x000D_&amp;1#&amp;"Aptos"&amp;10&amp;K000000 This document is classified as EOLO - C2 General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CD561-5272-447E-9A0C-45761C79ADD3}">
  <dimension ref="B2:I8"/>
  <sheetViews>
    <sheetView workbookViewId="0">
      <selection activeCell="H8" sqref="H8"/>
    </sheetView>
  </sheetViews>
  <sheetFormatPr baseColWidth="10" defaultColWidth="8.83203125" defaultRowHeight="15" x14ac:dyDescent="0.2"/>
  <cols>
    <col min="2" max="2" width="13.33203125" bestFit="1" customWidth="1"/>
    <col min="3" max="3" width="17.33203125" customWidth="1"/>
    <col min="4" max="4" width="16" customWidth="1"/>
    <col min="5" max="5" width="16.83203125" customWidth="1"/>
  </cols>
  <sheetData>
    <row r="2" spans="2:9" ht="16" thickBot="1" x14ac:dyDescent="0.25">
      <c r="I2" s="73">
        <f ca="1">TODAY()</f>
        <v>46146</v>
      </c>
    </row>
    <row r="3" spans="2:9" ht="39" customHeight="1" thickBot="1" x14ac:dyDescent="0.25">
      <c r="B3" s="157" t="s">
        <v>148</v>
      </c>
      <c r="C3" s="159"/>
      <c r="D3" s="159"/>
      <c r="E3" s="158"/>
    </row>
    <row r="4" spans="2:9" ht="44.5" customHeight="1" thickBot="1" x14ac:dyDescent="0.25">
      <c r="B4" s="66" t="s">
        <v>133</v>
      </c>
      <c r="C4" s="67" t="s">
        <v>147</v>
      </c>
      <c r="D4" s="68" t="s">
        <v>146</v>
      </c>
      <c r="E4" s="69" t="s">
        <v>149</v>
      </c>
    </row>
    <row r="5" spans="2:9" ht="19" x14ac:dyDescent="0.25">
      <c r="B5" s="72" t="s">
        <v>80</v>
      </c>
      <c r="C5" s="31">
        <v>45444</v>
      </c>
      <c r="D5" s="41" t="b">
        <v>1</v>
      </c>
      <c r="E5" s="74">
        <v>46174</v>
      </c>
    </row>
    <row r="6" spans="2:9" ht="19" x14ac:dyDescent="0.25">
      <c r="B6" s="72" t="s">
        <v>84</v>
      </c>
      <c r="C6" s="31">
        <v>45658</v>
      </c>
      <c r="D6" s="41" t="b">
        <v>1</v>
      </c>
      <c r="E6" s="74">
        <v>46388</v>
      </c>
    </row>
    <row r="7" spans="2:9" ht="19" x14ac:dyDescent="0.25">
      <c r="B7" s="72" t="s">
        <v>85</v>
      </c>
      <c r="C7" s="31">
        <v>45748</v>
      </c>
      <c r="D7" s="41" t="b">
        <v>1</v>
      </c>
      <c r="E7" s="74">
        <v>46478</v>
      </c>
    </row>
    <row r="8" spans="2:9" ht="20" thickBot="1" x14ac:dyDescent="0.3">
      <c r="B8" s="59" t="s">
        <v>136</v>
      </c>
      <c r="C8" s="35">
        <v>45901</v>
      </c>
      <c r="D8" s="42" t="b">
        <v>0</v>
      </c>
      <c r="E8" s="75">
        <v>46266</v>
      </c>
    </row>
  </sheetData>
  <mergeCells count="1">
    <mergeCell ref="B3:E3"/>
  </mergeCells>
  <conditionalFormatting sqref="E5:E8">
    <cfRule type="cellIs" dxfId="2" priority="1" stopIfTrue="1" operator="greaterThanOrEqual">
      <formula>$I$2</formula>
    </cfRule>
    <cfRule type="cellIs" dxfId="1" priority="2" stopIfTrue="1" operator="lessThanOrEqual">
      <formula>$I$2</formula>
    </cfRule>
    <cfRule type="containsBlanks" dxfId="0" priority="3" stopIfTrue="1">
      <formula>LEN(TRIM(E5))=0</formula>
    </cfRule>
  </conditionalFormatting>
  <pageMargins left="0.7" right="0.7" top="0.75" bottom="0.75" header="0.3" footer="0.3"/>
  <headerFooter>
    <oddFooter>&amp;C_x000D_&amp;1#&amp;"Aptos"&amp;10&amp;K000000 This document is classified as EOLO - C2 General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4CD05-5D21-457E-8543-484C2B11A481}">
  <dimension ref="B1:T55"/>
  <sheetViews>
    <sheetView zoomScale="60" zoomScaleNormal="60" workbookViewId="0">
      <pane ySplit="1" topLeftCell="A2" activePane="bottomLeft" state="frozen"/>
      <selection pane="bottomLeft" activeCell="I9" sqref="I9"/>
    </sheetView>
  </sheetViews>
  <sheetFormatPr baseColWidth="10" defaultColWidth="8.83203125" defaultRowHeight="15" x14ac:dyDescent="0.2"/>
  <cols>
    <col min="1" max="1" width="4.5" customWidth="1"/>
    <col min="2" max="2" width="12.6640625" customWidth="1"/>
    <col min="4" max="4" width="13.1640625" customWidth="1"/>
    <col min="5" max="5" width="15" customWidth="1"/>
    <col min="6" max="6" width="17" customWidth="1"/>
    <col min="7" max="7" width="16.5" customWidth="1"/>
    <col min="8" max="8" width="16" customWidth="1"/>
    <col min="9" max="9" width="16.5" customWidth="1"/>
    <col min="10" max="10" width="17.33203125" customWidth="1"/>
    <col min="11" max="11" width="20.1640625" customWidth="1"/>
    <col min="12" max="12" width="15.5" customWidth="1"/>
    <col min="13" max="13" width="16.6640625" customWidth="1"/>
    <col min="14" max="14" width="16.33203125" customWidth="1"/>
    <col min="20" max="20" width="12" customWidth="1"/>
  </cols>
  <sheetData>
    <row r="1" spans="2:20" ht="34.25" customHeight="1" thickBot="1" x14ac:dyDescent="0.25">
      <c r="B1" s="192" t="s">
        <v>193</v>
      </c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4"/>
    </row>
    <row r="2" spans="2:20" ht="29.5" customHeight="1" thickBot="1" x14ac:dyDescent="0.25">
      <c r="B2" s="157" t="s">
        <v>194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8"/>
    </row>
    <row r="3" spans="2:20" ht="36" customHeight="1" x14ac:dyDescent="0.2">
      <c r="B3" s="52" t="s">
        <v>87</v>
      </c>
      <c r="C3" s="195" t="s">
        <v>99</v>
      </c>
      <c r="D3" s="195"/>
      <c r="E3" s="54" t="s">
        <v>162</v>
      </c>
      <c r="F3" s="54" t="s">
        <v>161</v>
      </c>
      <c r="G3" s="54" t="s">
        <v>101</v>
      </c>
      <c r="H3" s="53" t="s">
        <v>102</v>
      </c>
      <c r="I3" s="54" t="s">
        <v>103</v>
      </c>
      <c r="J3" s="53" t="s">
        <v>104</v>
      </c>
      <c r="K3" s="53" t="s">
        <v>105</v>
      </c>
      <c r="L3" s="54" t="s">
        <v>106</v>
      </c>
      <c r="M3" s="54" t="s">
        <v>107</v>
      </c>
      <c r="N3" s="54" t="s">
        <v>108</v>
      </c>
      <c r="O3" s="195" t="s">
        <v>91</v>
      </c>
      <c r="P3" s="195"/>
      <c r="Q3" s="195"/>
      <c r="R3" s="195"/>
      <c r="S3" s="195"/>
      <c r="T3" s="196"/>
    </row>
    <row r="4" spans="2:20" ht="19" x14ac:dyDescent="0.2">
      <c r="B4" s="46" t="s">
        <v>74</v>
      </c>
      <c r="C4" s="197">
        <v>44470</v>
      </c>
      <c r="D4" s="198"/>
      <c r="E4" s="43">
        <v>46660</v>
      </c>
      <c r="F4" s="43">
        <v>46295</v>
      </c>
      <c r="G4" s="26" t="s">
        <v>109</v>
      </c>
      <c r="H4" s="25" t="s">
        <v>110</v>
      </c>
      <c r="I4" s="25" t="s">
        <v>111</v>
      </c>
      <c r="J4" s="25" t="s">
        <v>112</v>
      </c>
      <c r="K4" s="25" t="s">
        <v>112</v>
      </c>
      <c r="L4" s="25" t="s">
        <v>113</v>
      </c>
      <c r="M4" s="25" t="s">
        <v>114</v>
      </c>
      <c r="N4" s="25" t="s">
        <v>115</v>
      </c>
      <c r="O4" s="199" t="s">
        <v>116</v>
      </c>
      <c r="P4" s="200"/>
      <c r="Q4" s="200"/>
      <c r="R4" s="200"/>
      <c r="S4" s="200"/>
      <c r="T4" s="201"/>
    </row>
    <row r="5" spans="2:20" ht="19" x14ac:dyDescent="0.2">
      <c r="B5" s="46" t="s">
        <v>75</v>
      </c>
      <c r="C5" s="197">
        <v>44805</v>
      </c>
      <c r="D5" s="198"/>
      <c r="E5" s="43">
        <v>46265</v>
      </c>
      <c r="F5" s="43">
        <v>46265</v>
      </c>
      <c r="G5" s="26" t="s">
        <v>109</v>
      </c>
      <c r="H5" s="25" t="s">
        <v>110</v>
      </c>
      <c r="I5" s="25" t="s">
        <v>111</v>
      </c>
      <c r="J5" s="25" t="s">
        <v>112</v>
      </c>
      <c r="K5" s="25" t="s">
        <v>112</v>
      </c>
      <c r="L5" s="25" t="s">
        <v>113</v>
      </c>
      <c r="M5" s="25" t="s">
        <v>114</v>
      </c>
      <c r="N5" s="25" t="s">
        <v>115</v>
      </c>
      <c r="O5" s="199" t="s">
        <v>116</v>
      </c>
      <c r="P5" s="200"/>
      <c r="Q5" s="200"/>
      <c r="R5" s="200"/>
      <c r="S5" s="200"/>
      <c r="T5" s="201"/>
    </row>
    <row r="6" spans="2:20" ht="19" x14ac:dyDescent="0.2">
      <c r="B6" s="46" t="s">
        <v>76</v>
      </c>
      <c r="C6" s="166">
        <v>45323</v>
      </c>
      <c r="D6" s="167"/>
      <c r="E6" s="43">
        <v>46053</v>
      </c>
      <c r="F6" s="43">
        <v>46053</v>
      </c>
      <c r="G6" s="26" t="s">
        <v>109</v>
      </c>
      <c r="H6" s="25" t="s">
        <v>110</v>
      </c>
      <c r="I6" s="25" t="s">
        <v>111</v>
      </c>
      <c r="J6" s="25" t="s">
        <v>112</v>
      </c>
      <c r="K6" s="25" t="s">
        <v>112</v>
      </c>
      <c r="L6" s="25" t="s">
        <v>113</v>
      </c>
      <c r="M6" s="25" t="s">
        <v>114</v>
      </c>
      <c r="N6" s="25" t="s">
        <v>115</v>
      </c>
      <c r="O6" s="170" t="s">
        <v>116</v>
      </c>
      <c r="P6" s="170"/>
      <c r="Q6" s="170"/>
      <c r="R6" s="170"/>
      <c r="S6" s="170"/>
      <c r="T6" s="171"/>
    </row>
    <row r="7" spans="2:20" ht="19" x14ac:dyDescent="0.2">
      <c r="B7" s="46" t="s">
        <v>77</v>
      </c>
      <c r="C7" s="197">
        <v>45474</v>
      </c>
      <c r="D7" s="198"/>
      <c r="E7" s="43">
        <v>46203</v>
      </c>
      <c r="F7" s="43">
        <v>46203</v>
      </c>
      <c r="G7" s="26" t="s">
        <v>109</v>
      </c>
      <c r="H7" s="25" t="s">
        <v>110</v>
      </c>
      <c r="I7" s="25" t="s">
        <v>111</v>
      </c>
      <c r="J7" s="25" t="s">
        <v>112</v>
      </c>
      <c r="K7" s="25" t="s">
        <v>112</v>
      </c>
      <c r="L7" s="25" t="s">
        <v>113</v>
      </c>
      <c r="M7" s="25" t="s">
        <v>114</v>
      </c>
      <c r="N7" s="25" t="s">
        <v>117</v>
      </c>
      <c r="O7" s="199" t="s">
        <v>116</v>
      </c>
      <c r="P7" s="200"/>
      <c r="Q7" s="200"/>
      <c r="R7" s="200"/>
      <c r="S7" s="200"/>
      <c r="T7" s="201"/>
    </row>
    <row r="8" spans="2:20" ht="19" x14ac:dyDescent="0.2">
      <c r="B8" s="46" t="s">
        <v>92</v>
      </c>
      <c r="C8" s="197">
        <v>44866</v>
      </c>
      <c r="D8" s="198"/>
      <c r="E8" s="43">
        <v>46326</v>
      </c>
      <c r="F8" s="43">
        <v>46356</v>
      </c>
      <c r="G8" s="26" t="s">
        <v>118</v>
      </c>
      <c r="H8" s="25" t="s">
        <v>119</v>
      </c>
      <c r="I8" s="25" t="s">
        <v>120</v>
      </c>
      <c r="J8" s="25" t="s">
        <v>112</v>
      </c>
      <c r="K8" s="25" t="s">
        <v>112</v>
      </c>
      <c r="L8" s="25" t="s">
        <v>113</v>
      </c>
      <c r="M8" s="25" t="s">
        <v>114</v>
      </c>
      <c r="N8" s="25" t="s">
        <v>115</v>
      </c>
      <c r="O8" s="199" t="s">
        <v>116</v>
      </c>
      <c r="P8" s="200"/>
      <c r="Q8" s="200"/>
      <c r="R8" s="200"/>
      <c r="S8" s="200"/>
      <c r="T8" s="201"/>
    </row>
    <row r="9" spans="2:20" ht="15.5" customHeight="1" x14ac:dyDescent="0.2">
      <c r="B9" s="46" t="s">
        <v>79</v>
      </c>
      <c r="C9" s="197">
        <v>44986</v>
      </c>
      <c r="D9" s="198"/>
      <c r="E9" s="43">
        <v>46446</v>
      </c>
      <c r="F9" s="43">
        <v>46081</v>
      </c>
      <c r="G9" s="26" t="s">
        <v>109</v>
      </c>
      <c r="H9" s="25" t="s">
        <v>110</v>
      </c>
      <c r="I9" s="25" t="s">
        <v>111</v>
      </c>
      <c r="J9" s="25" t="s">
        <v>112</v>
      </c>
      <c r="K9" s="25" t="s">
        <v>112</v>
      </c>
      <c r="L9" s="25" t="s">
        <v>113</v>
      </c>
      <c r="M9" s="25" t="s">
        <v>121</v>
      </c>
      <c r="N9" s="25" t="s">
        <v>115</v>
      </c>
      <c r="O9" s="199" t="s">
        <v>116</v>
      </c>
      <c r="P9" s="200"/>
      <c r="Q9" s="200"/>
      <c r="R9" s="200"/>
      <c r="S9" s="200"/>
      <c r="T9" s="201"/>
    </row>
    <row r="10" spans="2:20" ht="19" x14ac:dyDescent="0.2">
      <c r="B10" s="46" t="s">
        <v>80</v>
      </c>
      <c r="C10" s="166">
        <v>45108</v>
      </c>
      <c r="D10" s="167"/>
      <c r="E10" s="43">
        <v>46568</v>
      </c>
      <c r="F10" s="43">
        <v>46203</v>
      </c>
      <c r="G10" s="26" t="s">
        <v>118</v>
      </c>
      <c r="H10" s="25" t="s">
        <v>119</v>
      </c>
      <c r="I10" s="25" t="s">
        <v>120</v>
      </c>
      <c r="J10" s="25" t="s">
        <v>112</v>
      </c>
      <c r="K10" s="25" t="s">
        <v>112</v>
      </c>
      <c r="L10" s="25" t="s">
        <v>113</v>
      </c>
      <c r="M10" s="25" t="s">
        <v>114</v>
      </c>
      <c r="N10" s="25" t="s">
        <v>117</v>
      </c>
      <c r="O10" s="170" t="s">
        <v>116</v>
      </c>
      <c r="P10" s="170"/>
      <c r="Q10" s="170"/>
      <c r="R10" s="170"/>
      <c r="S10" s="170"/>
      <c r="T10" s="171"/>
    </row>
    <row r="11" spans="2:20" ht="19" x14ac:dyDescent="0.2">
      <c r="B11" s="46" t="s">
        <v>81</v>
      </c>
      <c r="C11" s="166">
        <v>45323</v>
      </c>
      <c r="D11" s="167"/>
      <c r="E11" s="43">
        <v>46053</v>
      </c>
      <c r="F11" s="43">
        <v>46053</v>
      </c>
      <c r="G11" s="26" t="s">
        <v>118</v>
      </c>
      <c r="H11" s="25" t="s">
        <v>119</v>
      </c>
      <c r="I11" s="25" t="s">
        <v>120</v>
      </c>
      <c r="J11" s="25" t="s">
        <v>112</v>
      </c>
      <c r="K11" s="25" t="s">
        <v>112</v>
      </c>
      <c r="L11" s="25" t="s">
        <v>113</v>
      </c>
      <c r="M11" s="25" t="s">
        <v>114</v>
      </c>
      <c r="N11" s="25" t="s">
        <v>115</v>
      </c>
      <c r="O11" s="170" t="s">
        <v>116</v>
      </c>
      <c r="P11" s="170"/>
      <c r="Q11" s="170"/>
      <c r="R11" s="170"/>
      <c r="S11" s="170"/>
      <c r="T11" s="171"/>
    </row>
    <row r="12" spans="2:20" ht="19" x14ac:dyDescent="0.2">
      <c r="B12" s="46" t="s">
        <v>82</v>
      </c>
      <c r="C12" s="166">
        <v>45444</v>
      </c>
      <c r="D12" s="167"/>
      <c r="E12" s="43">
        <v>46173</v>
      </c>
      <c r="F12" s="43">
        <v>46173</v>
      </c>
      <c r="G12" s="26" t="s">
        <v>118</v>
      </c>
      <c r="H12" s="25" t="s">
        <v>119</v>
      </c>
      <c r="I12" s="25" t="s">
        <v>120</v>
      </c>
      <c r="J12" s="25" t="s">
        <v>112</v>
      </c>
      <c r="K12" s="25" t="s">
        <v>112</v>
      </c>
      <c r="L12" s="25" t="s">
        <v>113</v>
      </c>
      <c r="M12" s="25" t="s">
        <v>114</v>
      </c>
      <c r="N12" s="25" t="s">
        <v>117</v>
      </c>
      <c r="O12" s="170" t="s">
        <v>116</v>
      </c>
      <c r="P12" s="170"/>
      <c r="Q12" s="170"/>
      <c r="R12" s="170"/>
      <c r="S12" s="170"/>
      <c r="T12" s="171"/>
    </row>
    <row r="13" spans="2:20" ht="19" x14ac:dyDescent="0.2">
      <c r="B13" s="46" t="s">
        <v>83</v>
      </c>
      <c r="C13" s="166">
        <v>45566</v>
      </c>
      <c r="D13" s="167"/>
      <c r="E13" s="43">
        <v>46295</v>
      </c>
      <c r="F13" s="43">
        <v>46295</v>
      </c>
      <c r="G13" s="26" t="s">
        <v>118</v>
      </c>
      <c r="H13" s="25" t="s">
        <v>119</v>
      </c>
      <c r="I13" s="25" t="s">
        <v>120</v>
      </c>
      <c r="J13" s="25" t="s">
        <v>112</v>
      </c>
      <c r="K13" s="25" t="s">
        <v>112</v>
      </c>
      <c r="L13" s="25" t="s">
        <v>113</v>
      </c>
      <c r="M13" s="25" t="s">
        <v>114</v>
      </c>
      <c r="N13" s="25" t="s">
        <v>115</v>
      </c>
      <c r="O13" s="170" t="s">
        <v>116</v>
      </c>
      <c r="P13" s="170"/>
      <c r="Q13" s="170"/>
      <c r="R13" s="170"/>
      <c r="S13" s="170"/>
      <c r="T13" s="171"/>
    </row>
    <row r="14" spans="2:20" ht="19" x14ac:dyDescent="0.2">
      <c r="B14" s="46" t="s">
        <v>84</v>
      </c>
      <c r="C14" s="166">
        <v>45689</v>
      </c>
      <c r="D14" s="167"/>
      <c r="E14" s="43">
        <v>46418</v>
      </c>
      <c r="F14" s="43">
        <v>46053</v>
      </c>
      <c r="G14" s="26" t="s">
        <v>118</v>
      </c>
      <c r="H14" s="25" t="s">
        <v>119</v>
      </c>
      <c r="I14" s="25" t="s">
        <v>120</v>
      </c>
      <c r="J14" s="25" t="s">
        <v>112</v>
      </c>
      <c r="K14" s="25" t="s">
        <v>112</v>
      </c>
      <c r="L14" s="25" t="s">
        <v>113</v>
      </c>
      <c r="M14" s="25" t="s">
        <v>114</v>
      </c>
      <c r="N14" s="25" t="s">
        <v>115</v>
      </c>
      <c r="O14" s="170"/>
      <c r="P14" s="170"/>
      <c r="Q14" s="170"/>
      <c r="R14" s="170"/>
      <c r="S14" s="170"/>
      <c r="T14" s="171"/>
    </row>
    <row r="15" spans="2:20" ht="19" x14ac:dyDescent="0.2">
      <c r="B15" s="46" t="s">
        <v>85</v>
      </c>
      <c r="C15" s="166">
        <v>45748</v>
      </c>
      <c r="D15" s="167"/>
      <c r="E15" s="43">
        <v>46477</v>
      </c>
      <c r="F15" s="43">
        <v>46112</v>
      </c>
      <c r="G15" s="26" t="s">
        <v>118</v>
      </c>
      <c r="H15" s="25" t="s">
        <v>119</v>
      </c>
      <c r="I15" s="25" t="s">
        <v>120</v>
      </c>
      <c r="J15" s="25" t="s">
        <v>112</v>
      </c>
      <c r="K15" s="25" t="s">
        <v>112</v>
      </c>
      <c r="L15" s="25" t="s">
        <v>113</v>
      </c>
      <c r="M15" s="25" t="s">
        <v>114</v>
      </c>
      <c r="N15" s="25" t="s">
        <v>115</v>
      </c>
      <c r="O15" s="170"/>
      <c r="P15" s="170"/>
      <c r="Q15" s="170"/>
      <c r="R15" s="170"/>
      <c r="S15" s="170"/>
      <c r="T15" s="171"/>
    </row>
    <row r="16" spans="2:20" ht="19" x14ac:dyDescent="0.2">
      <c r="B16" s="46" t="s">
        <v>86</v>
      </c>
      <c r="C16" s="166">
        <v>45839</v>
      </c>
      <c r="D16" s="167"/>
      <c r="E16" s="43">
        <v>46568</v>
      </c>
      <c r="F16" s="43">
        <v>46203</v>
      </c>
      <c r="G16" s="26" t="s">
        <v>118</v>
      </c>
      <c r="H16" s="25" t="s">
        <v>119</v>
      </c>
      <c r="I16" s="25" t="s">
        <v>120</v>
      </c>
      <c r="J16" s="25" t="s">
        <v>112</v>
      </c>
      <c r="K16" s="25" t="s">
        <v>112</v>
      </c>
      <c r="L16" s="25" t="s">
        <v>113</v>
      </c>
      <c r="M16" s="25" t="s">
        <v>114</v>
      </c>
      <c r="N16" s="25" t="s">
        <v>115</v>
      </c>
      <c r="O16" s="170"/>
      <c r="P16" s="170"/>
      <c r="Q16" s="170"/>
      <c r="R16" s="170"/>
      <c r="S16" s="170"/>
      <c r="T16" s="171"/>
    </row>
    <row r="17" spans="2:20" ht="20" thickBot="1" x14ac:dyDescent="0.25">
      <c r="B17" s="47" t="s">
        <v>136</v>
      </c>
      <c r="C17" s="178">
        <v>45962</v>
      </c>
      <c r="D17" s="179"/>
      <c r="E17" s="48">
        <v>46691</v>
      </c>
      <c r="F17" s="48">
        <v>46326</v>
      </c>
      <c r="G17" s="49" t="s">
        <v>118</v>
      </c>
      <c r="H17" s="50" t="s">
        <v>119</v>
      </c>
      <c r="I17" s="50" t="s">
        <v>120</v>
      </c>
      <c r="J17" s="50" t="s">
        <v>112</v>
      </c>
      <c r="K17" s="50" t="s">
        <v>112</v>
      </c>
      <c r="L17" s="51" t="s">
        <v>135</v>
      </c>
      <c r="M17" s="50" t="s">
        <v>114</v>
      </c>
      <c r="N17" s="50" t="s">
        <v>115</v>
      </c>
      <c r="O17" s="180"/>
      <c r="P17" s="180"/>
      <c r="Q17" s="180"/>
      <c r="R17" s="180"/>
      <c r="S17" s="180"/>
      <c r="T17" s="181"/>
    </row>
    <row r="18" spans="2:20" ht="19" x14ac:dyDescent="0.2">
      <c r="B18" s="36"/>
      <c r="C18" s="37"/>
      <c r="D18" s="38"/>
      <c r="E18" s="38"/>
      <c r="F18" s="38"/>
      <c r="G18" s="39"/>
      <c r="H18" s="40"/>
      <c r="I18" s="40"/>
      <c r="J18" s="40"/>
      <c r="K18" s="40"/>
      <c r="M18" s="40"/>
      <c r="N18" s="40"/>
      <c r="O18" s="3"/>
      <c r="P18" s="3"/>
      <c r="Q18" s="3"/>
      <c r="R18" s="3"/>
      <c r="S18" s="3"/>
      <c r="T18" s="3"/>
    </row>
    <row r="19" spans="2:20" ht="20" thickBot="1" x14ac:dyDescent="0.25">
      <c r="B19" s="36"/>
      <c r="C19" s="37"/>
      <c r="D19" s="38"/>
      <c r="E19" s="38"/>
      <c r="F19" s="38"/>
      <c r="G19" s="39"/>
      <c r="H19" s="40"/>
      <c r="I19" s="40"/>
      <c r="J19" s="40"/>
      <c r="K19" s="40"/>
      <c r="M19" s="40"/>
      <c r="N19" s="40"/>
      <c r="O19" s="3"/>
      <c r="P19" s="3"/>
      <c r="Q19" s="3"/>
      <c r="R19" s="3"/>
      <c r="S19" s="3"/>
      <c r="T19" s="3"/>
    </row>
    <row r="20" spans="2:20" ht="28.75" customHeight="1" thickBot="1" x14ac:dyDescent="0.25">
      <c r="B20" s="157" t="s">
        <v>195</v>
      </c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8"/>
    </row>
    <row r="21" spans="2:20" ht="51" x14ac:dyDescent="0.2">
      <c r="B21" s="52" t="s">
        <v>87</v>
      </c>
      <c r="C21" s="195" t="s">
        <v>99</v>
      </c>
      <c r="D21" s="195"/>
      <c r="E21" s="54" t="s">
        <v>201</v>
      </c>
      <c r="F21" s="54" t="s">
        <v>101</v>
      </c>
      <c r="G21" s="53" t="s">
        <v>102</v>
      </c>
      <c r="H21" s="54" t="s">
        <v>103</v>
      </c>
      <c r="I21" s="53" t="s">
        <v>104</v>
      </c>
      <c r="J21" s="54" t="s">
        <v>199</v>
      </c>
      <c r="K21" s="54" t="s">
        <v>106</v>
      </c>
      <c r="L21" s="54" t="s">
        <v>107</v>
      </c>
      <c r="M21" s="54" t="s">
        <v>108</v>
      </c>
      <c r="N21" s="54" t="s">
        <v>198</v>
      </c>
      <c r="O21" s="195" t="s">
        <v>91</v>
      </c>
      <c r="P21" s="195"/>
      <c r="Q21" s="195"/>
      <c r="R21" s="195"/>
      <c r="S21" s="195"/>
      <c r="T21" s="196"/>
    </row>
    <row r="22" spans="2:20" ht="19" x14ac:dyDescent="0.2">
      <c r="B22" s="46" t="s">
        <v>74</v>
      </c>
      <c r="C22" s="166">
        <v>46023</v>
      </c>
      <c r="D22" s="167"/>
      <c r="E22" s="43">
        <v>47118</v>
      </c>
      <c r="F22" s="26" t="s">
        <v>109</v>
      </c>
      <c r="G22" s="25" t="s">
        <v>196</v>
      </c>
      <c r="H22" s="25" t="s">
        <v>111</v>
      </c>
      <c r="I22" s="25" t="s">
        <v>197</v>
      </c>
      <c r="J22" s="25" t="s">
        <v>197</v>
      </c>
      <c r="K22" s="25" t="s">
        <v>197</v>
      </c>
      <c r="L22" s="25" t="s">
        <v>197</v>
      </c>
      <c r="M22" s="25" t="s">
        <v>197</v>
      </c>
      <c r="N22" s="25" t="s">
        <v>197</v>
      </c>
      <c r="O22" s="170" t="s">
        <v>202</v>
      </c>
      <c r="P22" s="170"/>
      <c r="Q22" s="170"/>
      <c r="R22" s="170"/>
      <c r="S22" s="170"/>
      <c r="T22" s="171"/>
    </row>
    <row r="23" spans="2:20" ht="19" x14ac:dyDescent="0.2">
      <c r="B23" s="46" t="s">
        <v>75</v>
      </c>
      <c r="C23" s="166">
        <v>46023</v>
      </c>
      <c r="D23" s="167"/>
      <c r="E23" s="43">
        <v>47118</v>
      </c>
      <c r="F23" s="26" t="s">
        <v>109</v>
      </c>
      <c r="G23" s="25" t="s">
        <v>196</v>
      </c>
      <c r="H23" s="25" t="s">
        <v>111</v>
      </c>
      <c r="I23" s="25" t="s">
        <v>197</v>
      </c>
      <c r="J23" s="25" t="s">
        <v>197</v>
      </c>
      <c r="K23" s="25" t="s">
        <v>197</v>
      </c>
      <c r="L23" s="25" t="s">
        <v>197</v>
      </c>
      <c r="M23" s="25" t="s">
        <v>197</v>
      </c>
      <c r="N23" s="25" t="s">
        <v>197</v>
      </c>
      <c r="O23" s="170" t="s">
        <v>202</v>
      </c>
      <c r="P23" s="170"/>
      <c r="Q23" s="170"/>
      <c r="R23" s="170"/>
      <c r="S23" s="170"/>
      <c r="T23" s="171"/>
    </row>
    <row r="24" spans="2:20" ht="19" x14ac:dyDescent="0.2">
      <c r="B24" s="46" t="s">
        <v>76</v>
      </c>
      <c r="C24" s="166">
        <v>46023</v>
      </c>
      <c r="D24" s="167"/>
      <c r="E24" s="43">
        <v>47118</v>
      </c>
      <c r="F24" s="26" t="s">
        <v>109</v>
      </c>
      <c r="G24" s="25" t="s">
        <v>196</v>
      </c>
      <c r="H24" s="25" t="s">
        <v>111</v>
      </c>
      <c r="I24" s="25" t="s">
        <v>197</v>
      </c>
      <c r="J24" s="25" t="s">
        <v>197</v>
      </c>
      <c r="K24" s="25" t="s">
        <v>197</v>
      </c>
      <c r="L24" s="25" t="s">
        <v>197</v>
      </c>
      <c r="M24" s="25" t="s">
        <v>197</v>
      </c>
      <c r="N24" s="25" t="s">
        <v>197</v>
      </c>
      <c r="O24" s="170" t="s">
        <v>202</v>
      </c>
      <c r="P24" s="170"/>
      <c r="Q24" s="170"/>
      <c r="R24" s="170"/>
      <c r="S24" s="170"/>
      <c r="T24" s="171"/>
    </row>
    <row r="25" spans="2:20" ht="19" x14ac:dyDescent="0.2">
      <c r="B25" s="46" t="s">
        <v>77</v>
      </c>
      <c r="C25" s="166">
        <v>46023</v>
      </c>
      <c r="D25" s="167"/>
      <c r="E25" s="43">
        <v>47118</v>
      </c>
      <c r="F25" s="26" t="s">
        <v>109</v>
      </c>
      <c r="G25" s="25" t="s">
        <v>196</v>
      </c>
      <c r="H25" s="25" t="s">
        <v>111</v>
      </c>
      <c r="I25" s="25" t="s">
        <v>197</v>
      </c>
      <c r="J25" s="25" t="s">
        <v>197</v>
      </c>
      <c r="K25" s="25" t="s">
        <v>197</v>
      </c>
      <c r="L25" s="25" t="s">
        <v>197</v>
      </c>
      <c r="M25" s="25" t="s">
        <v>197</v>
      </c>
      <c r="N25" s="25" t="s">
        <v>197</v>
      </c>
      <c r="O25" s="170" t="s">
        <v>202</v>
      </c>
      <c r="P25" s="170"/>
      <c r="Q25" s="170"/>
      <c r="R25" s="170"/>
      <c r="S25" s="170"/>
      <c r="T25" s="171"/>
    </row>
    <row r="26" spans="2:20" ht="19" x14ac:dyDescent="0.2">
      <c r="B26" s="46" t="s">
        <v>92</v>
      </c>
      <c r="C26" s="166">
        <v>46023</v>
      </c>
      <c r="D26" s="167"/>
      <c r="E26" s="43">
        <v>47118</v>
      </c>
      <c r="F26" s="26" t="s">
        <v>118</v>
      </c>
      <c r="G26" s="25" t="s">
        <v>200</v>
      </c>
      <c r="H26" s="25" t="s">
        <v>111</v>
      </c>
      <c r="I26" s="25" t="s">
        <v>197</v>
      </c>
      <c r="J26" s="25" t="s">
        <v>197</v>
      </c>
      <c r="K26" s="25" t="s">
        <v>197</v>
      </c>
      <c r="L26" s="25" t="s">
        <v>197</v>
      </c>
      <c r="M26" s="25" t="s">
        <v>197</v>
      </c>
      <c r="N26" s="25" t="s">
        <v>197</v>
      </c>
      <c r="O26" s="170" t="s">
        <v>202</v>
      </c>
      <c r="P26" s="170"/>
      <c r="Q26" s="170"/>
      <c r="R26" s="170"/>
      <c r="S26" s="170"/>
      <c r="T26" s="171"/>
    </row>
    <row r="27" spans="2:20" ht="19" x14ac:dyDescent="0.2">
      <c r="B27" s="46" t="s">
        <v>79</v>
      </c>
      <c r="C27" s="166">
        <v>46023</v>
      </c>
      <c r="D27" s="167"/>
      <c r="E27" s="43">
        <v>47118</v>
      </c>
      <c r="F27" s="26" t="s">
        <v>109</v>
      </c>
      <c r="G27" s="25" t="s">
        <v>196</v>
      </c>
      <c r="H27" s="25" t="s">
        <v>111</v>
      </c>
      <c r="I27" s="25" t="s">
        <v>197</v>
      </c>
      <c r="J27" s="25" t="s">
        <v>197</v>
      </c>
      <c r="K27" s="25" t="s">
        <v>197</v>
      </c>
      <c r="L27" s="25" t="s">
        <v>197</v>
      </c>
      <c r="M27" s="25" t="s">
        <v>197</v>
      </c>
      <c r="N27" s="25" t="s">
        <v>197</v>
      </c>
      <c r="O27" s="170" t="s">
        <v>202</v>
      </c>
      <c r="P27" s="170"/>
      <c r="Q27" s="170"/>
      <c r="R27" s="170"/>
      <c r="S27" s="170"/>
      <c r="T27" s="171"/>
    </row>
    <row r="28" spans="2:20" ht="19" x14ac:dyDescent="0.2">
      <c r="B28" s="46" t="s">
        <v>80</v>
      </c>
      <c r="C28" s="166">
        <v>46023</v>
      </c>
      <c r="D28" s="167"/>
      <c r="E28" s="43">
        <v>47118</v>
      </c>
      <c r="F28" s="26" t="s">
        <v>118</v>
      </c>
      <c r="G28" s="25" t="s">
        <v>200</v>
      </c>
      <c r="H28" s="25" t="s">
        <v>111</v>
      </c>
      <c r="I28" s="25" t="s">
        <v>197</v>
      </c>
      <c r="J28" s="25" t="s">
        <v>197</v>
      </c>
      <c r="K28" s="25" t="s">
        <v>197</v>
      </c>
      <c r="L28" s="25" t="s">
        <v>197</v>
      </c>
      <c r="M28" s="25" t="s">
        <v>197</v>
      </c>
      <c r="N28" s="25" t="s">
        <v>197</v>
      </c>
      <c r="O28" s="170" t="s">
        <v>202</v>
      </c>
      <c r="P28" s="170"/>
      <c r="Q28" s="170"/>
      <c r="R28" s="170"/>
      <c r="S28" s="170"/>
      <c r="T28" s="171"/>
    </row>
    <row r="29" spans="2:20" ht="19" x14ac:dyDescent="0.2">
      <c r="B29" s="46" t="s">
        <v>81</v>
      </c>
      <c r="C29" s="166">
        <v>46023</v>
      </c>
      <c r="D29" s="167"/>
      <c r="E29" s="43">
        <v>47118</v>
      </c>
      <c r="F29" s="26" t="s">
        <v>118</v>
      </c>
      <c r="G29" s="25" t="s">
        <v>200</v>
      </c>
      <c r="H29" s="25" t="s">
        <v>111</v>
      </c>
      <c r="I29" s="25" t="s">
        <v>197</v>
      </c>
      <c r="J29" s="25" t="s">
        <v>197</v>
      </c>
      <c r="K29" s="25" t="s">
        <v>197</v>
      </c>
      <c r="L29" s="25" t="s">
        <v>197</v>
      </c>
      <c r="M29" s="25" t="s">
        <v>197</v>
      </c>
      <c r="N29" s="25" t="s">
        <v>197</v>
      </c>
      <c r="O29" s="170" t="s">
        <v>202</v>
      </c>
      <c r="P29" s="170"/>
      <c r="Q29" s="170"/>
      <c r="R29" s="170"/>
      <c r="S29" s="170"/>
      <c r="T29" s="171"/>
    </row>
    <row r="30" spans="2:20" ht="19" x14ac:dyDescent="0.2">
      <c r="B30" s="46" t="s">
        <v>82</v>
      </c>
      <c r="C30" s="166">
        <v>46023</v>
      </c>
      <c r="D30" s="167"/>
      <c r="E30" s="43">
        <v>47118</v>
      </c>
      <c r="F30" s="26" t="s">
        <v>118</v>
      </c>
      <c r="G30" s="25" t="s">
        <v>200</v>
      </c>
      <c r="H30" s="25" t="s">
        <v>111</v>
      </c>
      <c r="I30" s="25" t="s">
        <v>197</v>
      </c>
      <c r="J30" s="25" t="s">
        <v>197</v>
      </c>
      <c r="K30" s="25" t="s">
        <v>197</v>
      </c>
      <c r="L30" s="25" t="s">
        <v>197</v>
      </c>
      <c r="M30" s="25" t="s">
        <v>197</v>
      </c>
      <c r="N30" s="25" t="s">
        <v>197</v>
      </c>
      <c r="O30" s="170" t="s">
        <v>202</v>
      </c>
      <c r="P30" s="170"/>
      <c r="Q30" s="170"/>
      <c r="R30" s="170"/>
      <c r="S30" s="170"/>
      <c r="T30" s="171"/>
    </row>
    <row r="31" spans="2:20" ht="19" x14ac:dyDescent="0.2">
      <c r="B31" s="46" t="s">
        <v>83</v>
      </c>
      <c r="C31" s="166">
        <v>46023</v>
      </c>
      <c r="D31" s="167"/>
      <c r="E31" s="43">
        <v>47118</v>
      </c>
      <c r="F31" s="26" t="s">
        <v>118</v>
      </c>
      <c r="G31" s="25" t="s">
        <v>200</v>
      </c>
      <c r="H31" s="25" t="s">
        <v>111</v>
      </c>
      <c r="I31" s="25" t="s">
        <v>197</v>
      </c>
      <c r="J31" s="25" t="s">
        <v>197</v>
      </c>
      <c r="K31" s="25" t="s">
        <v>197</v>
      </c>
      <c r="L31" s="25" t="s">
        <v>197</v>
      </c>
      <c r="M31" s="25" t="s">
        <v>197</v>
      </c>
      <c r="N31" s="25" t="s">
        <v>197</v>
      </c>
      <c r="O31" s="170" t="s">
        <v>202</v>
      </c>
      <c r="P31" s="170"/>
      <c r="Q31" s="170"/>
      <c r="R31" s="170"/>
      <c r="S31" s="170"/>
      <c r="T31" s="171"/>
    </row>
    <row r="32" spans="2:20" ht="19" x14ac:dyDescent="0.2">
      <c r="B32" s="46" t="s">
        <v>84</v>
      </c>
      <c r="C32" s="166">
        <v>46023</v>
      </c>
      <c r="D32" s="167"/>
      <c r="E32" s="43">
        <v>47118</v>
      </c>
      <c r="F32" s="26" t="s">
        <v>118</v>
      </c>
      <c r="G32" s="25" t="s">
        <v>200</v>
      </c>
      <c r="H32" s="25" t="s">
        <v>111</v>
      </c>
      <c r="I32" s="25" t="s">
        <v>197</v>
      </c>
      <c r="J32" s="25" t="s">
        <v>197</v>
      </c>
      <c r="K32" s="25" t="s">
        <v>197</v>
      </c>
      <c r="L32" s="25" t="s">
        <v>197</v>
      </c>
      <c r="M32" s="25" t="s">
        <v>197</v>
      </c>
      <c r="N32" s="25" t="s">
        <v>197</v>
      </c>
      <c r="O32" s="170" t="s">
        <v>202</v>
      </c>
      <c r="P32" s="170"/>
      <c r="Q32" s="170"/>
      <c r="R32" s="170"/>
      <c r="S32" s="170"/>
      <c r="T32" s="171"/>
    </row>
    <row r="33" spans="2:20" ht="19" x14ac:dyDescent="0.2">
      <c r="B33" s="46" t="s">
        <v>85</v>
      </c>
      <c r="C33" s="166">
        <v>46023</v>
      </c>
      <c r="D33" s="167"/>
      <c r="E33" s="43">
        <v>47118</v>
      </c>
      <c r="F33" s="26" t="s">
        <v>118</v>
      </c>
      <c r="G33" s="25" t="s">
        <v>200</v>
      </c>
      <c r="H33" s="25" t="s">
        <v>111</v>
      </c>
      <c r="I33" s="25" t="s">
        <v>197</v>
      </c>
      <c r="J33" s="25" t="s">
        <v>197</v>
      </c>
      <c r="K33" s="25" t="s">
        <v>197</v>
      </c>
      <c r="L33" s="25" t="s">
        <v>197</v>
      </c>
      <c r="M33" s="25" t="s">
        <v>197</v>
      </c>
      <c r="N33" s="25" t="s">
        <v>197</v>
      </c>
      <c r="O33" s="170" t="s">
        <v>202</v>
      </c>
      <c r="P33" s="170"/>
      <c r="Q33" s="170"/>
      <c r="R33" s="170"/>
      <c r="S33" s="170"/>
      <c r="T33" s="171"/>
    </row>
    <row r="34" spans="2:20" ht="19" x14ac:dyDescent="0.2">
      <c r="B34" s="46" t="s">
        <v>86</v>
      </c>
      <c r="C34" s="166">
        <v>46023</v>
      </c>
      <c r="D34" s="167"/>
      <c r="E34" s="43">
        <v>47118</v>
      </c>
      <c r="F34" s="26" t="s">
        <v>118</v>
      </c>
      <c r="G34" s="25" t="s">
        <v>200</v>
      </c>
      <c r="H34" s="25" t="s">
        <v>111</v>
      </c>
      <c r="I34" s="25" t="s">
        <v>197</v>
      </c>
      <c r="J34" s="25" t="s">
        <v>197</v>
      </c>
      <c r="K34" s="25" t="s">
        <v>197</v>
      </c>
      <c r="L34" s="25" t="s">
        <v>197</v>
      </c>
      <c r="M34" s="25" t="s">
        <v>197</v>
      </c>
      <c r="N34" s="25" t="s">
        <v>197</v>
      </c>
      <c r="O34" s="170" t="s">
        <v>202</v>
      </c>
      <c r="P34" s="170"/>
      <c r="Q34" s="170"/>
      <c r="R34" s="170"/>
      <c r="S34" s="170"/>
      <c r="T34" s="171"/>
    </row>
    <row r="35" spans="2:20" ht="20" thickBot="1" x14ac:dyDescent="0.25">
      <c r="B35" s="47" t="s">
        <v>136</v>
      </c>
      <c r="C35" s="178">
        <v>46023</v>
      </c>
      <c r="D35" s="179"/>
      <c r="E35" s="48">
        <v>47118</v>
      </c>
      <c r="F35" s="49" t="s">
        <v>118</v>
      </c>
      <c r="G35" s="50" t="s">
        <v>200</v>
      </c>
      <c r="H35" s="50" t="s">
        <v>111</v>
      </c>
      <c r="I35" s="50" t="s">
        <v>197</v>
      </c>
      <c r="J35" s="50" t="s">
        <v>197</v>
      </c>
      <c r="K35" s="50" t="s">
        <v>197</v>
      </c>
      <c r="L35" s="50" t="s">
        <v>197</v>
      </c>
      <c r="M35" s="50" t="s">
        <v>197</v>
      </c>
      <c r="N35" s="50" t="s">
        <v>197</v>
      </c>
      <c r="O35" s="180" t="s">
        <v>202</v>
      </c>
      <c r="P35" s="180"/>
      <c r="Q35" s="180"/>
      <c r="R35" s="180"/>
      <c r="S35" s="180"/>
      <c r="T35" s="181"/>
    </row>
    <row r="36" spans="2:20" ht="19" x14ac:dyDescent="0.2">
      <c r="B36" s="36"/>
      <c r="C36" s="37"/>
      <c r="D36" s="38"/>
      <c r="E36" s="38"/>
      <c r="F36" s="38"/>
      <c r="G36" s="39"/>
      <c r="H36" s="40"/>
      <c r="I36" s="40"/>
      <c r="J36" s="40"/>
      <c r="K36" s="40"/>
      <c r="M36" s="40"/>
      <c r="N36" s="40"/>
      <c r="O36" s="3"/>
      <c r="P36" s="3"/>
      <c r="Q36" s="3"/>
      <c r="R36" s="3"/>
      <c r="S36" s="3"/>
      <c r="T36" s="3"/>
    </row>
    <row r="37" spans="2:20" ht="17" thickBot="1" x14ac:dyDescent="0.25">
      <c r="L37" s="40"/>
    </row>
    <row r="38" spans="2:20" ht="31.75" customHeight="1" thickBot="1" x14ac:dyDescent="0.25">
      <c r="B38" s="175" t="s">
        <v>209</v>
      </c>
      <c r="C38" s="176"/>
      <c r="D38" s="176"/>
      <c r="E38" s="176"/>
      <c r="F38" s="176"/>
      <c r="G38" s="176"/>
      <c r="H38" s="176"/>
      <c r="I38" s="176"/>
      <c r="J38" s="176"/>
      <c r="K38" s="176"/>
      <c r="L38" s="177"/>
    </row>
    <row r="39" spans="2:20" ht="21.5" customHeight="1" x14ac:dyDescent="0.2">
      <c r="B39" s="184" t="s">
        <v>139</v>
      </c>
      <c r="C39" s="186" t="s">
        <v>141</v>
      </c>
      <c r="D39" s="187"/>
      <c r="E39" s="186" t="s">
        <v>142</v>
      </c>
      <c r="F39" s="187"/>
      <c r="G39" s="190" t="s">
        <v>143</v>
      </c>
      <c r="H39" s="182" t="s">
        <v>140</v>
      </c>
      <c r="I39" s="183"/>
      <c r="J39" s="172" t="s">
        <v>210</v>
      </c>
      <c r="K39" s="173"/>
      <c r="L39" s="174"/>
      <c r="N39" s="79" t="s">
        <v>233</v>
      </c>
      <c r="O39" s="79"/>
      <c r="P39" s="79"/>
    </row>
    <row r="40" spans="2:20" ht="19.25" customHeight="1" thickBot="1" x14ac:dyDescent="0.25">
      <c r="B40" s="185"/>
      <c r="C40" s="188"/>
      <c r="D40" s="189"/>
      <c r="E40" s="188"/>
      <c r="F40" s="189"/>
      <c r="G40" s="191"/>
      <c r="H40" s="63" t="s">
        <v>144</v>
      </c>
      <c r="I40" s="64" t="s">
        <v>145</v>
      </c>
      <c r="J40" s="63" t="s">
        <v>206</v>
      </c>
      <c r="K40" s="63" t="s">
        <v>207</v>
      </c>
      <c r="L40" s="65" t="s">
        <v>208</v>
      </c>
    </row>
    <row r="41" spans="2:20" ht="19.25" customHeight="1" x14ac:dyDescent="0.2">
      <c r="B41" s="58" t="s">
        <v>74</v>
      </c>
      <c r="C41" s="168" t="s">
        <v>163</v>
      </c>
      <c r="D41" s="168"/>
      <c r="E41" s="168" t="s">
        <v>168</v>
      </c>
      <c r="F41" s="168"/>
      <c r="G41" s="32">
        <v>46042</v>
      </c>
      <c r="H41" s="33">
        <v>10</v>
      </c>
      <c r="I41" s="60">
        <v>15</v>
      </c>
      <c r="J41" s="32">
        <v>46064</v>
      </c>
      <c r="K41" s="55">
        <v>675846</v>
      </c>
      <c r="L41" s="61" t="b">
        <v>1</v>
      </c>
    </row>
    <row r="42" spans="2:20" ht="19.25" customHeight="1" x14ac:dyDescent="0.2">
      <c r="B42" s="58" t="s">
        <v>75</v>
      </c>
      <c r="C42" s="168" t="s">
        <v>164</v>
      </c>
      <c r="D42" s="168"/>
      <c r="E42" s="169" t="s">
        <v>169</v>
      </c>
      <c r="F42" s="169"/>
      <c r="G42" s="32">
        <v>46042</v>
      </c>
      <c r="H42" s="33">
        <v>10</v>
      </c>
      <c r="I42" s="60">
        <v>15</v>
      </c>
      <c r="J42" s="57">
        <v>46064</v>
      </c>
      <c r="K42" s="56">
        <v>150269</v>
      </c>
      <c r="L42" s="62" t="b">
        <v>1</v>
      </c>
    </row>
    <row r="43" spans="2:20" ht="19.25" customHeight="1" x14ac:dyDescent="0.2">
      <c r="B43" s="58" t="s">
        <v>76</v>
      </c>
      <c r="C43" s="168" t="s">
        <v>165</v>
      </c>
      <c r="D43" s="168"/>
      <c r="E43" s="169" t="s">
        <v>170</v>
      </c>
      <c r="F43" s="169"/>
      <c r="G43" s="32">
        <v>46042</v>
      </c>
      <c r="H43" s="33">
        <v>10</v>
      </c>
      <c r="I43" s="60">
        <v>15</v>
      </c>
      <c r="J43" s="57">
        <v>46064</v>
      </c>
      <c r="K43" s="56">
        <v>829065</v>
      </c>
      <c r="L43" s="62" t="b">
        <v>1</v>
      </c>
    </row>
    <row r="44" spans="2:20" ht="19.25" customHeight="1" x14ac:dyDescent="0.2">
      <c r="B44" s="58" t="s">
        <v>77</v>
      </c>
      <c r="C44" s="168" t="s">
        <v>181</v>
      </c>
      <c r="D44" s="168"/>
      <c r="E44" s="169" t="s">
        <v>171</v>
      </c>
      <c r="F44" s="169"/>
      <c r="G44" s="32">
        <v>46042</v>
      </c>
      <c r="H44" s="33">
        <v>10</v>
      </c>
      <c r="I44" s="60">
        <v>15</v>
      </c>
      <c r="J44" s="57">
        <v>46064</v>
      </c>
      <c r="K44" s="56">
        <v>984102</v>
      </c>
      <c r="L44" s="62" t="b">
        <v>1</v>
      </c>
    </row>
    <row r="45" spans="2:20" ht="19.25" customHeight="1" x14ac:dyDescent="0.2">
      <c r="B45" s="58" t="s">
        <v>92</v>
      </c>
      <c r="C45" s="168" t="s">
        <v>182</v>
      </c>
      <c r="D45" s="168"/>
      <c r="E45" s="169" t="s">
        <v>172</v>
      </c>
      <c r="F45" s="169"/>
      <c r="G45" s="32">
        <v>46042</v>
      </c>
      <c r="H45" s="33">
        <v>10</v>
      </c>
      <c r="I45" s="60">
        <v>15</v>
      </c>
      <c r="J45" s="57">
        <v>46064</v>
      </c>
      <c r="K45" s="56">
        <v>206615</v>
      </c>
      <c r="L45" s="62" t="b">
        <v>1</v>
      </c>
    </row>
    <row r="46" spans="2:20" ht="19.25" customHeight="1" x14ac:dyDescent="0.2">
      <c r="B46" s="58" t="s">
        <v>79</v>
      </c>
      <c r="C46" s="168" t="s">
        <v>183</v>
      </c>
      <c r="D46" s="168"/>
      <c r="E46" s="169" t="s">
        <v>173</v>
      </c>
      <c r="F46" s="169"/>
      <c r="G46" s="32">
        <v>46042</v>
      </c>
      <c r="H46" s="33">
        <v>10</v>
      </c>
      <c r="I46" s="60">
        <v>15</v>
      </c>
      <c r="J46" s="57">
        <v>46064</v>
      </c>
      <c r="K46" s="56">
        <v>817270</v>
      </c>
      <c r="L46" s="62" t="b">
        <v>1</v>
      </c>
    </row>
    <row r="47" spans="2:20" ht="19.25" customHeight="1" x14ac:dyDescent="0.2">
      <c r="B47" s="58" t="s">
        <v>80</v>
      </c>
      <c r="C47" s="168" t="s">
        <v>184</v>
      </c>
      <c r="D47" s="168"/>
      <c r="E47" s="169" t="s">
        <v>174</v>
      </c>
      <c r="F47" s="169"/>
      <c r="G47" s="32">
        <v>46042</v>
      </c>
      <c r="H47" s="33">
        <v>10</v>
      </c>
      <c r="I47" s="60">
        <v>15</v>
      </c>
      <c r="J47" s="57">
        <v>46064</v>
      </c>
      <c r="K47" s="56">
        <v>921854</v>
      </c>
      <c r="L47" s="62" t="b">
        <v>1</v>
      </c>
    </row>
    <row r="48" spans="2:20" ht="19.25" customHeight="1" x14ac:dyDescent="0.2">
      <c r="B48" s="58" t="s">
        <v>81</v>
      </c>
      <c r="C48" s="168" t="s">
        <v>185</v>
      </c>
      <c r="D48" s="168"/>
      <c r="E48" s="169" t="s">
        <v>175</v>
      </c>
      <c r="F48" s="169"/>
      <c r="G48" s="32">
        <v>46042</v>
      </c>
      <c r="H48" s="33">
        <v>10</v>
      </c>
      <c r="I48" s="60">
        <v>15</v>
      </c>
      <c r="J48" s="57">
        <v>46064</v>
      </c>
      <c r="K48" s="56">
        <v>983040</v>
      </c>
      <c r="L48" s="62" t="b">
        <v>1</v>
      </c>
    </row>
    <row r="49" spans="2:13" ht="19.25" customHeight="1" x14ac:dyDescent="0.2">
      <c r="B49" s="58" t="s">
        <v>82</v>
      </c>
      <c r="C49" s="168" t="s">
        <v>186</v>
      </c>
      <c r="D49" s="168"/>
      <c r="E49" s="169" t="s">
        <v>176</v>
      </c>
      <c r="F49" s="169"/>
      <c r="G49" s="32">
        <v>46042</v>
      </c>
      <c r="H49" s="33">
        <v>10</v>
      </c>
      <c r="I49" s="60">
        <v>15</v>
      </c>
      <c r="J49" s="57">
        <v>46064</v>
      </c>
      <c r="K49" s="56">
        <v>575745</v>
      </c>
      <c r="L49" s="62" t="b">
        <v>1</v>
      </c>
    </row>
    <row r="50" spans="2:13" ht="19.25" customHeight="1" x14ac:dyDescent="0.2">
      <c r="B50" s="58" t="s">
        <v>83</v>
      </c>
      <c r="C50" s="168" t="s">
        <v>187</v>
      </c>
      <c r="D50" s="168"/>
      <c r="E50" s="169" t="s">
        <v>177</v>
      </c>
      <c r="F50" s="169"/>
      <c r="G50" s="32">
        <v>46042</v>
      </c>
      <c r="H50" s="33">
        <v>10</v>
      </c>
      <c r="I50" s="60">
        <v>15</v>
      </c>
      <c r="J50" s="57">
        <v>46064</v>
      </c>
      <c r="K50" s="56">
        <v>485440</v>
      </c>
      <c r="L50" s="62" t="b">
        <v>1</v>
      </c>
    </row>
    <row r="51" spans="2:13" ht="19.25" customHeight="1" x14ac:dyDescent="0.2">
      <c r="B51" s="58" t="s">
        <v>84</v>
      </c>
      <c r="C51" s="168" t="s">
        <v>188</v>
      </c>
      <c r="D51" s="168"/>
      <c r="E51" s="169" t="s">
        <v>178</v>
      </c>
      <c r="F51" s="169"/>
      <c r="G51" s="32">
        <v>46042</v>
      </c>
      <c r="H51" s="33">
        <v>10</v>
      </c>
      <c r="I51" s="60">
        <v>15</v>
      </c>
      <c r="J51" s="57">
        <v>46064</v>
      </c>
      <c r="K51" s="56">
        <v>986995</v>
      </c>
      <c r="L51" s="62" t="b">
        <v>1</v>
      </c>
      <c r="M51" t="s">
        <v>213</v>
      </c>
    </row>
    <row r="52" spans="2:13" ht="19.25" customHeight="1" x14ac:dyDescent="0.2">
      <c r="B52" s="58" t="s">
        <v>85</v>
      </c>
      <c r="C52" s="168" t="s">
        <v>189</v>
      </c>
      <c r="D52" s="168"/>
      <c r="E52" s="169" t="s">
        <v>179</v>
      </c>
      <c r="F52" s="169"/>
      <c r="G52" s="32">
        <v>46042</v>
      </c>
      <c r="H52" s="33">
        <v>10</v>
      </c>
      <c r="I52" s="60">
        <v>15</v>
      </c>
      <c r="J52" s="57">
        <v>46064</v>
      </c>
      <c r="K52" s="56">
        <v>882352</v>
      </c>
      <c r="L52" s="62" t="b">
        <v>1</v>
      </c>
    </row>
    <row r="53" spans="2:13" ht="19.25" customHeight="1" x14ac:dyDescent="0.2">
      <c r="B53" s="58" t="s">
        <v>86</v>
      </c>
      <c r="C53" s="168" t="s">
        <v>190</v>
      </c>
      <c r="D53" s="168"/>
      <c r="E53" s="202" t="s">
        <v>180</v>
      </c>
      <c r="F53" s="203"/>
      <c r="G53" s="32">
        <v>46042</v>
      </c>
      <c r="H53" s="33">
        <v>10</v>
      </c>
      <c r="I53" s="60">
        <v>15</v>
      </c>
      <c r="J53" s="57">
        <v>46064</v>
      </c>
      <c r="K53" s="56">
        <v>783570</v>
      </c>
      <c r="L53" s="62" t="b">
        <v>1</v>
      </c>
    </row>
    <row r="54" spans="2:13" ht="19.25" customHeight="1" x14ac:dyDescent="0.2">
      <c r="B54" s="160" t="s">
        <v>136</v>
      </c>
      <c r="C54" s="162" t="s">
        <v>137</v>
      </c>
      <c r="D54" s="162"/>
      <c r="E54" s="162" t="s">
        <v>138</v>
      </c>
      <c r="F54" s="162"/>
      <c r="G54" s="164">
        <v>45910</v>
      </c>
      <c r="H54" s="80">
        <v>10</v>
      </c>
      <c r="I54" s="81">
        <v>15</v>
      </c>
      <c r="J54" s="57">
        <v>46064</v>
      </c>
      <c r="K54" s="56">
        <v>682624</v>
      </c>
      <c r="L54" s="62" t="b">
        <v>1</v>
      </c>
    </row>
    <row r="55" spans="2:13" ht="16" thickBot="1" x14ac:dyDescent="0.25">
      <c r="B55" s="161"/>
      <c r="C55" s="163"/>
      <c r="D55" s="163"/>
      <c r="E55" s="163"/>
      <c r="F55" s="163"/>
      <c r="G55" s="165"/>
      <c r="H55" s="82" t="s">
        <v>236</v>
      </c>
      <c r="I55" s="83">
        <v>10</v>
      </c>
      <c r="J55" s="84" t="s">
        <v>237</v>
      </c>
      <c r="K55" s="85"/>
      <c r="L55" s="86"/>
    </row>
  </sheetData>
  <mergeCells count="100">
    <mergeCell ref="C41:D41"/>
    <mergeCell ref="E41:F41"/>
    <mergeCell ref="C46:D46"/>
    <mergeCell ref="C47:D47"/>
    <mergeCell ref="C48:D48"/>
    <mergeCell ref="C44:D44"/>
    <mergeCell ref="C28:D28"/>
    <mergeCell ref="O28:T28"/>
    <mergeCell ref="C29:D29"/>
    <mergeCell ref="C25:D25"/>
    <mergeCell ref="O25:T25"/>
    <mergeCell ref="C26:D26"/>
    <mergeCell ref="O26:T26"/>
    <mergeCell ref="C27:D27"/>
    <mergeCell ref="O27:T27"/>
    <mergeCell ref="O29:T29"/>
    <mergeCell ref="O6:T6"/>
    <mergeCell ref="C3:D3"/>
    <mergeCell ref="O3:T3"/>
    <mergeCell ref="C4:D4"/>
    <mergeCell ref="O4:T4"/>
    <mergeCell ref="C7:D7"/>
    <mergeCell ref="O7:T7"/>
    <mergeCell ref="C13:D13"/>
    <mergeCell ref="O13:T13"/>
    <mergeCell ref="C11:D11"/>
    <mergeCell ref="C8:D8"/>
    <mergeCell ref="O11:T11"/>
    <mergeCell ref="C12:D12"/>
    <mergeCell ref="O8:T8"/>
    <mergeCell ref="O12:T12"/>
    <mergeCell ref="C9:D9"/>
    <mergeCell ref="O9:T9"/>
    <mergeCell ref="C10:D10"/>
    <mergeCell ref="O10:T10"/>
    <mergeCell ref="C17:D17"/>
    <mergeCell ref="O17:T17"/>
    <mergeCell ref="C23:D23"/>
    <mergeCell ref="O23:T23"/>
    <mergeCell ref="C24:D24"/>
    <mergeCell ref="O24:T24"/>
    <mergeCell ref="E50:F50"/>
    <mergeCell ref="E51:F51"/>
    <mergeCell ref="E52:F52"/>
    <mergeCell ref="E53:F53"/>
    <mergeCell ref="C42:D42"/>
    <mergeCell ref="C43:D43"/>
    <mergeCell ref="C49:D49"/>
    <mergeCell ref="C50:D50"/>
    <mergeCell ref="C51:D51"/>
    <mergeCell ref="B1:T1"/>
    <mergeCell ref="B20:T20"/>
    <mergeCell ref="C21:D21"/>
    <mergeCell ref="O21:T21"/>
    <mergeCell ref="C22:D22"/>
    <mergeCell ref="O22:T22"/>
    <mergeCell ref="B2:T2"/>
    <mergeCell ref="C14:D14"/>
    <mergeCell ref="O14:T14"/>
    <mergeCell ref="C15:D15"/>
    <mergeCell ref="O15:T15"/>
    <mergeCell ref="C16:D16"/>
    <mergeCell ref="O16:T16"/>
    <mergeCell ref="C5:D5"/>
    <mergeCell ref="O5:T5"/>
    <mergeCell ref="C6:D6"/>
    <mergeCell ref="C30:D30"/>
    <mergeCell ref="O30:T30"/>
    <mergeCell ref="C31:D31"/>
    <mergeCell ref="O31:T31"/>
    <mergeCell ref="O32:T32"/>
    <mergeCell ref="C33:D33"/>
    <mergeCell ref="O33:T33"/>
    <mergeCell ref="J39:L39"/>
    <mergeCell ref="B38:L38"/>
    <mergeCell ref="C34:D34"/>
    <mergeCell ref="O34:T34"/>
    <mergeCell ref="C35:D35"/>
    <mergeCell ref="O35:T35"/>
    <mergeCell ref="H39:I39"/>
    <mergeCell ref="B39:B40"/>
    <mergeCell ref="C39:D40"/>
    <mergeCell ref="E39:F40"/>
    <mergeCell ref="G39:G40"/>
    <mergeCell ref="B54:B55"/>
    <mergeCell ref="C54:D55"/>
    <mergeCell ref="E54:F55"/>
    <mergeCell ref="G54:G55"/>
    <mergeCell ref="C32:D32"/>
    <mergeCell ref="C45:D45"/>
    <mergeCell ref="C52:D52"/>
    <mergeCell ref="C53:D53"/>
    <mergeCell ref="E42:F42"/>
    <mergeCell ref="E43:F43"/>
    <mergeCell ref="E44:F44"/>
    <mergeCell ref="E45:F45"/>
    <mergeCell ref="E46:F46"/>
    <mergeCell ref="E47:F47"/>
    <mergeCell ref="E48:F48"/>
    <mergeCell ref="E49:F49"/>
  </mergeCells>
  <pageMargins left="0.7" right="0.7" top="0.75" bottom="0.75" header="0.3" footer="0.3"/>
  <pageSetup paperSize="9" orientation="portrait" r:id="rId1"/>
  <headerFooter>
    <oddFooter>&amp;C_x000D_&amp;1#&amp;"Aptos"&amp;10&amp;K000000 This document is classified as EOLO - C2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PLANNING APERTURA - TO DO</vt:lpstr>
      <vt:lpstr>Registro Antincendio</vt:lpstr>
      <vt:lpstr>Pulizia filtri condizionatori</vt:lpstr>
      <vt:lpstr>Impianto elettrico</vt:lpstr>
      <vt:lpstr>Radiografico</vt:lpstr>
      <vt:lpstr>Bombole ossigeno</vt:lpstr>
      <vt:lpstr>NOLOMEDICAL</vt:lpstr>
      <vt:lpstr>Ecologia Ambiente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Confident Studi Dentistici</dc:creator>
  <cp:keywords/>
  <dc:description/>
  <cp:lastModifiedBy>Andrea Depaoli</cp:lastModifiedBy>
  <cp:revision/>
  <cp:lastPrinted>2025-05-15T10:18:58Z</cp:lastPrinted>
  <dcterms:created xsi:type="dcterms:W3CDTF">2024-10-09T13:57:57Z</dcterms:created>
  <dcterms:modified xsi:type="dcterms:W3CDTF">2026-05-04T14:24:53Z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c112c3a-7bd8-47cc-83d0-f5c7c61e6e4e_Enabled">
    <vt:lpwstr>true</vt:lpwstr>
  </property>
  <property fmtid="{D5CDD505-2E9C-101B-9397-08002B2CF9AE}" pid="3" name="MSIP_Label_dc112c3a-7bd8-47cc-83d0-f5c7c61e6e4e_SetDate">
    <vt:lpwstr>2026-05-04T14:24:53Z</vt:lpwstr>
  </property>
  <property fmtid="{D5CDD505-2E9C-101B-9397-08002B2CF9AE}" pid="4" name="MSIP_Label_dc112c3a-7bd8-47cc-83d0-f5c7c61e6e4e_Method">
    <vt:lpwstr>Standard</vt:lpwstr>
  </property>
  <property fmtid="{D5CDD505-2E9C-101B-9397-08002B2CF9AE}" pid="5" name="MSIP_Label_dc112c3a-7bd8-47cc-83d0-f5c7c61e6e4e_Name">
    <vt:lpwstr>C2</vt:lpwstr>
  </property>
  <property fmtid="{D5CDD505-2E9C-101B-9397-08002B2CF9AE}" pid="6" name="MSIP_Label_dc112c3a-7bd8-47cc-83d0-f5c7c61e6e4e_SiteId">
    <vt:lpwstr>3eb573ab-f148-4769-95fd-b69696295c69</vt:lpwstr>
  </property>
  <property fmtid="{D5CDD505-2E9C-101B-9397-08002B2CF9AE}" pid="7" name="MSIP_Label_dc112c3a-7bd8-47cc-83d0-f5c7c61e6e4e_ActionId">
    <vt:lpwstr>987a4b05-7c0d-4ddf-988e-bb830678f8e2</vt:lpwstr>
  </property>
  <property fmtid="{D5CDD505-2E9C-101B-9397-08002B2CF9AE}" pid="8" name="MSIP_Label_dc112c3a-7bd8-47cc-83d0-f5c7c61e6e4e_ContentBits">
    <vt:lpwstr>2</vt:lpwstr>
  </property>
  <property fmtid="{D5CDD505-2E9C-101B-9397-08002B2CF9AE}" pid="9" name="MSIP_Label_dc112c3a-7bd8-47cc-83d0-f5c7c61e6e4e_Tag">
    <vt:lpwstr>50, 3, 0, 1</vt:lpwstr>
  </property>
</Properties>
</file>