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OneDrive - CCH SRL (1)\Attachments\Desktop\"/>
    </mc:Choice>
  </mc:AlternateContent>
  <xr:revisionPtr revIDLastSave="0" documentId="13_ncr:1_{6E1A339F-0977-460D-A068-32E0DF034CFE}" xr6:coauthVersionLast="47" xr6:coauthVersionMax="47" xr10:uidLastSave="{00000000-0000-0000-0000-000000000000}"/>
  <bookViews>
    <workbookView xWindow="-120" yWindow="-120" windowWidth="29040" windowHeight="15720" xr2:uid="{8CD124A1-1CB5-4FF2-979A-EA8B3073B6D3}"/>
  </bookViews>
  <sheets>
    <sheet name="prova" sheetId="2" r:id="rId1"/>
  </sheets>
  <definedNames>
    <definedName name="_xlnm._FilterDatabase" localSheetId="0" hidden="1">prova!$A$1:$O$1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68" i="2" l="1"/>
  <c r="J43" i="2"/>
  <c r="J42" i="2"/>
  <c r="J37" i="2"/>
  <c r="J24" i="2"/>
  <c r="J15" i="2"/>
  <c r="J14" i="2"/>
</calcChain>
</file>

<file path=xl/sharedStrings.xml><?xml version="1.0" encoding="utf-8"?>
<sst xmlns="http://schemas.openxmlformats.org/spreadsheetml/2006/main" count="852" uniqueCount="294">
  <si>
    <t>DATA</t>
  </si>
  <si>
    <t>COMPETENZA</t>
  </si>
  <si>
    <t>LOC</t>
  </si>
  <si>
    <t>E/M</t>
  </si>
  <si>
    <t>BM</t>
  </si>
  <si>
    <t>FORNITORE</t>
  </si>
  <si>
    <t>IMPORTO</t>
  </si>
  <si>
    <t>IVA</t>
  </si>
  <si>
    <t>IMPORTO TOTALE</t>
  </si>
  <si>
    <t>MET PAG</t>
  </si>
  <si>
    <t>STATUS</t>
  </si>
  <si>
    <t>TIPO</t>
  </si>
  <si>
    <t xml:space="preserve">NOTE </t>
  </si>
  <si>
    <t>IBAN</t>
  </si>
  <si>
    <t>Dic 24</t>
  </si>
  <si>
    <t>BOL</t>
  </si>
  <si>
    <t>Lyreco Italia srl</t>
  </si>
  <si>
    <t>RIBA</t>
  </si>
  <si>
    <t>Pagato</t>
  </si>
  <si>
    <t>ALTRE SPESE FISSE</t>
  </si>
  <si>
    <t>cancelleria</t>
  </si>
  <si>
    <t>Bonifico</t>
  </si>
  <si>
    <t>Nov 24</t>
  </si>
  <si>
    <t>CCH SRL</t>
  </si>
  <si>
    <t>ALTRI RICAVI VARI</t>
  </si>
  <si>
    <t>12 x kit Gum (1 x box) - n. 5 scatole</t>
  </si>
  <si>
    <t>IT28Z0200850240000106384965</t>
  </si>
  <si>
    <t>A</t>
  </si>
  <si>
    <t>Sian srl</t>
  </si>
  <si>
    <t>ASSICURAZIONE</t>
  </si>
  <si>
    <t xml:space="preserve">IT72C0637013900000010009732  </t>
  </si>
  <si>
    <t>CANONE MARKETING</t>
  </si>
  <si>
    <t>Ott 24</t>
  </si>
  <si>
    <t>F24</t>
  </si>
  <si>
    <t>COSTI DEL PERSONALE</t>
  </si>
  <si>
    <t>E</t>
  </si>
  <si>
    <t>ELETTRICA MORANDI DEI F.LLI MORANDI SNC</t>
  </si>
  <si>
    <t>COSTI INIZIO ATTIVITA'</t>
  </si>
  <si>
    <t>acconto</t>
  </si>
  <si>
    <t>IT06O0503450321000000004650</t>
  </si>
  <si>
    <t>DIREZIONE SANITARIA</t>
  </si>
  <si>
    <t>Lug 24</t>
  </si>
  <si>
    <t>RID</t>
  </si>
  <si>
    <t>ENERGIA ELETTRICA</t>
  </si>
  <si>
    <t>BPER BANCA</t>
  </si>
  <si>
    <t>FINANZIAMENTI PASSIVI</t>
  </si>
  <si>
    <t>rata mensile</t>
  </si>
  <si>
    <t>IMPOSTE E TASSE</t>
  </si>
  <si>
    <t>LABORATORIO</t>
  </si>
  <si>
    <t>Invisalign srl</t>
  </si>
  <si>
    <t>IT45X0338001600000014427029</t>
  </si>
  <si>
    <t>ODONTOCAP S.R.L.</t>
  </si>
  <si>
    <t>IT33K0344033080000001495500</t>
  </si>
  <si>
    <t>RDR Dental s.a.s. di Babolin Danilo e Vanzulli Raffaele</t>
  </si>
  <si>
    <t>IT63T0311150240000000037749</t>
  </si>
  <si>
    <t>LEASING</t>
  </si>
  <si>
    <t>LOCAZIONE</t>
  </si>
  <si>
    <t>MATERIALE MEDICO</t>
  </si>
  <si>
    <t>materiale odontoiatrico</t>
  </si>
  <si>
    <t>J Dental Care srl</t>
  </si>
  <si>
    <t>IT88G0200812910000040628086</t>
  </si>
  <si>
    <t xml:space="preserve">SWEDEN &amp; MARTINA S.p.A. </t>
  </si>
  <si>
    <t>IT61Q0898262680030000500272</t>
  </si>
  <si>
    <t>MEDICI</t>
  </si>
  <si>
    <t>REP spa</t>
  </si>
  <si>
    <t>NOLEGGIO IT</t>
  </si>
  <si>
    <t>Compass Banca spa</t>
  </si>
  <si>
    <t>ONERI FINANZIARI</t>
  </si>
  <si>
    <t>contributo campagna dealer</t>
  </si>
  <si>
    <t>canone mensile</t>
  </si>
  <si>
    <t>ROYALTIES</t>
  </si>
  <si>
    <t>CRISTAL group srl</t>
  </si>
  <si>
    <t>SERVIZIO PULIZIA</t>
  </si>
  <si>
    <t>Vodafone Italia S.p.A</t>
  </si>
  <si>
    <t>TELEFONIA</t>
  </si>
  <si>
    <t>bolletta</t>
  </si>
  <si>
    <t>SPESE CONDOMINIALI</t>
  </si>
  <si>
    <t>Infinity srl</t>
  </si>
  <si>
    <t>SOFTWARE</t>
  </si>
  <si>
    <t>canone cloud</t>
  </si>
  <si>
    <t>IT54S0306922800100000069338</t>
  </si>
  <si>
    <t>SAPIA PRATESI &amp; PARTNERS S.R.L.</t>
  </si>
  <si>
    <t>compenso mensile</t>
  </si>
  <si>
    <t>IT72C0637013900000010009732</t>
  </si>
  <si>
    <t>Edenred Italia S.r.l.</t>
  </si>
  <si>
    <t>IT28T0333201600000001112420</t>
  </si>
  <si>
    <t>MARKETING</t>
  </si>
  <si>
    <t>DIELLE di LEZZI DANIELE</t>
  </si>
  <si>
    <t>canone</t>
  </si>
  <si>
    <t>Deutsche Bank S.p.A.</t>
  </si>
  <si>
    <t>commissioni</t>
  </si>
  <si>
    <t>Giu 24</t>
  </si>
  <si>
    <t>BUS</t>
  </si>
  <si>
    <t>Apr 24</t>
  </si>
  <si>
    <t>Mag 24</t>
  </si>
  <si>
    <t>contributo attività marketing giu 24</t>
  </si>
  <si>
    <t>M</t>
  </si>
  <si>
    <t>stipendio/compenso giu 24</t>
  </si>
  <si>
    <t>EDIL B.&amp; C. SAS DI BARBIERI STEFANO E C.</t>
  </si>
  <si>
    <t>acconto lavori</t>
  </si>
  <si>
    <t>IT02Q0503450122000000072628</t>
  </si>
  <si>
    <t>MS ARREDO SAS di Milan Stefano &amp; C.</t>
  </si>
  <si>
    <t>IT67F0200850110000003988169</t>
  </si>
  <si>
    <t>Ferioli Paolo</t>
  </si>
  <si>
    <t>IT24K0306950320000005106171</t>
  </si>
  <si>
    <t>Ago 24</t>
  </si>
  <si>
    <t>compensi ago 24</t>
  </si>
  <si>
    <t>Unicredit</t>
  </si>
  <si>
    <t>medicine</t>
  </si>
  <si>
    <t>FAD-2024-1372</t>
  </si>
  <si>
    <t>Ticket nr. 1368 del 20/05/2024</t>
  </si>
  <si>
    <t>Feb 24</t>
  </si>
  <si>
    <t>CCH</t>
  </si>
  <si>
    <t>Q-Print srl</t>
  </si>
  <si>
    <t>stampati per cliniche</t>
  </si>
  <si>
    <t>IT98Y0503450112000000001360</t>
  </si>
  <si>
    <t>EniMoov S.p.A.</t>
  </si>
  <si>
    <t>CC</t>
  </si>
  <si>
    <t>carburante</t>
  </si>
  <si>
    <t>Mar 24</t>
  </si>
  <si>
    <t>Nunziati Marco</t>
  </si>
  <si>
    <t>COMPENSO AMMINISTRATORE</t>
  </si>
  <si>
    <t>stipendio/compenso mag 24</t>
  </si>
  <si>
    <t>IT17W0306932430100000006959</t>
  </si>
  <si>
    <t>RITENUTE NUNZIATI</t>
  </si>
  <si>
    <t xml:space="preserve">SIAN snc </t>
  </si>
  <si>
    <t>Ferrario Arredamenti S.r.l.</t>
  </si>
  <si>
    <t>sedie</t>
  </si>
  <si>
    <t>IT77J0306922800100000003577</t>
  </si>
  <si>
    <t>DIVIDENDI</t>
  </si>
  <si>
    <t>distribuzione utili 2023</t>
  </si>
  <si>
    <t>77-parcella del 30/01/2025</t>
  </si>
  <si>
    <t>Alpeggiani Avvocati Associati</t>
  </si>
  <si>
    <t>DUE DILIGENCE</t>
  </si>
  <si>
    <t>avvocato</t>
  </si>
  <si>
    <t>bolletta apr 24</t>
  </si>
  <si>
    <t>giugno 2024</t>
  </si>
  <si>
    <t>Microsoft Ireland Operations Ltd</t>
  </si>
  <si>
    <t>IT</t>
  </si>
  <si>
    <t>CARMINATI ALLESTIMENTI SRL</t>
  </si>
  <si>
    <t>SGM</t>
  </si>
  <si>
    <t>IT46C0894053620000000160720</t>
  </si>
  <si>
    <t>Gen 24</t>
  </si>
  <si>
    <t>RIMBORSO AMMINISTRATORE</t>
  </si>
  <si>
    <t>biglietto treno</t>
  </si>
  <si>
    <t>Trenord srl</t>
  </si>
  <si>
    <t>COM</t>
  </si>
  <si>
    <t xml:space="preserve">COM </t>
  </si>
  <si>
    <t xml:space="preserve">Polizza     N° 501968740   </t>
  </si>
  <si>
    <t>assicurazione annuale</t>
  </si>
  <si>
    <t>Arrigo Martina</t>
  </si>
  <si>
    <t>IT57T0100550240000000006529</t>
  </si>
  <si>
    <t>CCH srl</t>
  </si>
  <si>
    <t>ENTRANCE FEE</t>
  </si>
  <si>
    <t>rapporto 000/2164024/000</t>
  </si>
  <si>
    <t>rata finanziamento</t>
  </si>
  <si>
    <t>Wichita SRL</t>
  </si>
  <si>
    <t>IT96P0306910928100000006925</t>
  </si>
  <si>
    <t>DENTAL TREY S.R.L.</t>
  </si>
  <si>
    <t>IT53S0200813220000001310262</t>
  </si>
  <si>
    <t>COR</t>
  </si>
  <si>
    <t>RITENUTE PAOLO MIGLIETTA</t>
  </si>
  <si>
    <t>Miglietta Paolo</t>
  </si>
  <si>
    <t>IT77S0538750560000042389024</t>
  </si>
  <si>
    <t>SPH srl</t>
  </si>
  <si>
    <t>COMPENSO CONSIGLIERE</t>
  </si>
  <si>
    <t>IT03P0306932623100000011316</t>
  </si>
  <si>
    <t>Causale: CODICE CLIENTE 808149</t>
  </si>
  <si>
    <t>Novelli Giuliana</t>
  </si>
  <si>
    <t>IT24G0569601630000003015X23</t>
  </si>
  <si>
    <t>O</t>
  </si>
  <si>
    <t xml:space="preserve">POL. N. 501958576 </t>
  </si>
  <si>
    <t>FONDO INVESTIMENTO</t>
  </si>
  <si>
    <t>MB DENTAL LAB SRL</t>
  </si>
  <si>
    <t>IT65D0306951611100000016841</t>
  </si>
  <si>
    <t>BNP PARIBAS LEASE GROUP SA</t>
  </si>
  <si>
    <t>canone leasing</t>
  </si>
  <si>
    <t>Biomec srl</t>
  </si>
  <si>
    <t>compensi apr 24</t>
  </si>
  <si>
    <t xml:space="preserve">DES </t>
  </si>
  <si>
    <t>Miglietta Tina</t>
  </si>
  <si>
    <t>IT89Z0200813908000104625435</t>
  </si>
  <si>
    <t>DES</t>
  </si>
  <si>
    <t>Provenzano Daniele</t>
  </si>
  <si>
    <t>IT15F0503411103000000000781</t>
  </si>
  <si>
    <t>finanziamento n. 004 / 01776460</t>
  </si>
  <si>
    <t>polizza n. 50-1726807</t>
  </si>
  <si>
    <t>Studio Cassano Pierluigi</t>
  </si>
  <si>
    <t>IT45J0844033100000000076483</t>
  </si>
  <si>
    <t xml:space="preserve">VAR </t>
  </si>
  <si>
    <t>0100220240011788700</t>
  </si>
  <si>
    <t>LERETI spa</t>
  </si>
  <si>
    <t>ACQUA</t>
  </si>
  <si>
    <t>IT42G0569610901000009101X54</t>
  </si>
  <si>
    <t xml:space="preserve">	
0100220240017351500</t>
  </si>
  <si>
    <t>bolletta nov 24</t>
  </si>
  <si>
    <t>0000557</t>
  </si>
  <si>
    <t>Plastigomma s.r.l.</t>
  </si>
  <si>
    <t>articoli vari</t>
  </si>
  <si>
    <t>2024-FE17315-970</t>
  </si>
  <si>
    <t>MI7</t>
  </si>
  <si>
    <t>MI9</t>
  </si>
  <si>
    <t>CVZ ANTINCENDI S.A.S. DI M.P.</t>
  </si>
  <si>
    <t>estintori</t>
  </si>
  <si>
    <t>n. 220 volantini implantologia n. 200 volantini ortodonzia n. 300 biglietti da visita</t>
  </si>
  <si>
    <t xml:space="preserve">POLIZZA N° 38084IZ </t>
  </si>
  <si>
    <t>rc Varese -  rata semestrale</t>
  </si>
  <si>
    <t>Compenso Amministratore</t>
  </si>
  <si>
    <t>RITENUTE TINA  MIGLIETTA</t>
  </si>
  <si>
    <t>GIU</t>
  </si>
  <si>
    <t>Bors Iustina</t>
  </si>
  <si>
    <t>IT16L0623032620000015254758</t>
  </si>
  <si>
    <t>Colace Serena</t>
  </si>
  <si>
    <t>IT52F0347501605CC0011247296</t>
  </si>
  <si>
    <t>400808</t>
  </si>
  <si>
    <t>13a</t>
  </si>
  <si>
    <t>saldo</t>
  </si>
  <si>
    <t>avviso n. 39-52/e</t>
  </si>
  <si>
    <t>Studio Marco Mapelli architetto</t>
  </si>
  <si>
    <t>IT44S0306909507615234787358</t>
  </si>
  <si>
    <t>PROVENZANO PASQUALE</t>
  </si>
  <si>
    <t>compensi mar 24</t>
  </si>
  <si>
    <t>IT60D0538711105000042556509</t>
  </si>
  <si>
    <t>200-Avviso di parcella n. 6642 del 30/12/2024</t>
  </si>
  <si>
    <t>Belluzzo International Partners Studio Legale Tributario</t>
  </si>
  <si>
    <t xml:space="preserve">studio legale </t>
  </si>
  <si>
    <t>IT61X0503411734000000012088</t>
  </si>
  <si>
    <t>MI3</t>
  </si>
  <si>
    <t>524516607336</t>
  </si>
  <si>
    <t>A2A Energia spa</t>
  </si>
  <si>
    <t>bolletta LUCE MI3</t>
  </si>
  <si>
    <t>MI6</t>
  </si>
  <si>
    <t>Eni Plenitude spa</t>
  </si>
  <si>
    <t>bolletta LUCE MI6</t>
  </si>
  <si>
    <t>Carrefour San Donato</t>
  </si>
  <si>
    <t>CARREFOUR BOVISIO MASCIAGO</t>
  </si>
  <si>
    <t>finanziamento n. 0421-5064252</t>
  </si>
  <si>
    <t>rapporto 2289829</t>
  </si>
  <si>
    <t>fin. N. 2368305/000</t>
  </si>
  <si>
    <t>polizza n. 501780844</t>
  </si>
  <si>
    <t>iva mar 24</t>
  </si>
  <si>
    <t>E0700UCV44</t>
  </si>
  <si>
    <t>04/10/2024 - 03/11/2024</t>
  </si>
  <si>
    <t>E0700UPRGX</t>
  </si>
  <si>
    <t>04/11/2024 - 03/12/2024</t>
  </si>
  <si>
    <t>9590127370</t>
  </si>
  <si>
    <t>1510312 - Monti Beatrice - Roberta  Di Lieto</t>
  </si>
  <si>
    <t>laboratorio gen 24</t>
  </si>
  <si>
    <t>197967/2024/01</t>
  </si>
  <si>
    <t>De Lage Landen International B.V. - Succursale di Milano</t>
  </si>
  <si>
    <t>rata 13</t>
  </si>
  <si>
    <t>JJE31393</t>
  </si>
  <si>
    <t>1/28</t>
  </si>
  <si>
    <t>Belforte GmbH</t>
  </si>
  <si>
    <t>affitto mar 24</t>
  </si>
  <si>
    <t>IT18J0585658590040571356441</t>
  </si>
  <si>
    <t>7742912702485500-7167536093356494</t>
  </si>
  <si>
    <t>Meta Platforms Ireland Limited</t>
  </si>
  <si>
    <t>diviso 8 cliniche</t>
  </si>
  <si>
    <t>IDEAL COMMUNICATION di R. Ruspantini</t>
  </si>
  <si>
    <t>Como</t>
  </si>
  <si>
    <t>IT26T0623020413000047508844</t>
  </si>
  <si>
    <t>241516</t>
  </si>
  <si>
    <t>Contanti</t>
  </si>
  <si>
    <t>4500394708</t>
  </si>
  <si>
    <t>FARMACIA SANTA TERESA SAS DI ANNA MARIA
BUZZI &amp; C</t>
  </si>
  <si>
    <t>IT97W0843010900000000261483</t>
  </si>
  <si>
    <t>2024/00/0006233</t>
  </si>
  <si>
    <t>nota credito</t>
  </si>
  <si>
    <t>VD24-008389</t>
  </si>
  <si>
    <t>MONTI BEATRICE</t>
  </si>
  <si>
    <t>compensi gen 24</t>
  </si>
  <si>
    <t>IT03P0301503200000005644659</t>
  </si>
  <si>
    <t>Capotosto Ilaria</t>
  </si>
  <si>
    <t>compensigen 24 - al posto suo lavora un'altra dott</t>
  </si>
  <si>
    <t>IT15O0100578630000000001006</t>
  </si>
  <si>
    <t>compensi  gen 24</t>
  </si>
  <si>
    <t>FAD-2024-1960</t>
  </si>
  <si>
    <t>C1AV20020343</t>
  </si>
  <si>
    <t>C1AV20014376</t>
  </si>
  <si>
    <t>05387-4160313520</t>
  </si>
  <si>
    <t>3901002810</t>
  </si>
  <si>
    <t>2024/880024197</t>
  </si>
  <si>
    <t>1018690</t>
  </si>
  <si>
    <t>INDEPENDENT HOSPITALITY MALPENSA SRL</t>
  </si>
  <si>
    <t>hotel</t>
  </si>
  <si>
    <t>pulizie gen 24</t>
  </si>
  <si>
    <t>royalties feb  24</t>
  </si>
  <si>
    <t>Lico s.p.a.</t>
  </si>
  <si>
    <t>Spese condominiali a Vs. debito consuntivo gestione 2022-2023; Spese condominiali a Vs. debito preventivo gestione 2023-2024</t>
  </si>
  <si>
    <t>IT42E0569651470000002878X53</t>
  </si>
  <si>
    <t>conguaglio 2022/2023 + 2024 - anticipo</t>
  </si>
  <si>
    <t>AQ03545131</t>
  </si>
  <si>
    <t>AQ03811636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</si>
</sst>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.00\ [$€-410]_-;\-* #,##0.00\ [$€-410]_-;_-* &quot;-&quot;??\ [$€-410]_-;_-@_-"/>
    <numFmt numFmtId="165" formatCode="&quot; € &quot;#,##0.00\ ;&quot;-€ &quot;#,##0.00\ ;&quot; € -&quot;#\ ;@\ 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0"/>
      <color rgb="FF222222"/>
      <name val="Arial"/>
      <family val="2"/>
    </font>
    <font>
      <sz val="10"/>
      <color rgb="FF201F1E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0" borderId="0"/>
    <xf numFmtId="165" fontId="2" fillId="0" borderId="0"/>
  </cellStyleXfs>
  <cellXfs count="51">
    <xf numFmtId="0" fontId="0" fillId="0" borderId="0" xfId="0"/>
    <xf numFmtId="0" fontId="3" fillId="0" borderId="0" xfId="2" applyFont="1" applyProtection="1">
      <protection locked="0"/>
    </xf>
    <xf numFmtId="0" fontId="3" fillId="0" borderId="0" xfId="2" applyFont="1" applyAlignment="1" applyProtection="1">
      <alignment horizontal="center"/>
      <protection locked="0"/>
    </xf>
    <xf numFmtId="0" fontId="3" fillId="0" borderId="0" xfId="2" applyFont="1" applyAlignment="1" applyProtection="1">
      <alignment horizontal="left"/>
      <protection locked="0"/>
    </xf>
    <xf numFmtId="164" fontId="3" fillId="0" borderId="0" xfId="2" applyNumberFormat="1" applyFont="1" applyAlignment="1" applyProtection="1">
      <alignment horizontal="center"/>
      <protection locked="0"/>
    </xf>
    <xf numFmtId="0" fontId="2" fillId="0" borderId="0" xfId="2" applyProtection="1">
      <protection locked="0"/>
    </xf>
    <xf numFmtId="0" fontId="4" fillId="0" borderId="0" xfId="0" applyFont="1" applyProtection="1">
      <protection locked="0"/>
    </xf>
    <xf numFmtId="14" fontId="4" fillId="0" borderId="0" xfId="0" applyNumberFormat="1" applyFont="1" applyProtection="1">
      <protection locked="0"/>
    </xf>
    <xf numFmtId="49" fontId="4" fillId="0" borderId="0" xfId="0" applyNumberFormat="1" applyFont="1" applyProtection="1">
      <protection locked="0"/>
    </xf>
    <xf numFmtId="0" fontId="4" fillId="0" borderId="0" xfId="0" applyFont="1" applyAlignment="1" applyProtection="1">
      <alignment horizontal="left"/>
      <protection locked="0"/>
    </xf>
    <xf numFmtId="164" fontId="4" fillId="0" borderId="0" xfId="2" applyNumberFormat="1" applyFont="1" applyProtection="1">
      <protection locked="0"/>
    </xf>
    <xf numFmtId="2" fontId="3" fillId="0" borderId="0" xfId="2" applyNumberFormat="1" applyFont="1" applyAlignment="1" applyProtection="1">
      <alignment horizontal="left"/>
      <protection locked="0"/>
    </xf>
    <xf numFmtId="0" fontId="4" fillId="0" borderId="0" xfId="2" quotePrefix="1" applyFont="1" applyProtection="1">
      <protection locked="0"/>
    </xf>
    <xf numFmtId="165" fontId="2" fillId="0" borderId="0" xfId="3" applyProtection="1">
      <protection locked="0"/>
    </xf>
    <xf numFmtId="165" fontId="4" fillId="0" borderId="0" xfId="3" applyFont="1" applyProtection="1">
      <protection locked="0"/>
    </xf>
    <xf numFmtId="14" fontId="4" fillId="0" borderId="0" xfId="0" applyNumberFormat="1" applyFont="1" applyAlignment="1" applyProtection="1">
      <alignment horizontal="right"/>
      <protection locked="0"/>
    </xf>
    <xf numFmtId="164" fontId="4" fillId="0" borderId="0" xfId="0" applyNumberFormat="1" applyFont="1" applyProtection="1">
      <protection locked="0"/>
    </xf>
    <xf numFmtId="164" fontId="2" fillId="0" borderId="0" xfId="2" applyNumberFormat="1" applyProtection="1">
      <protection locked="0"/>
    </xf>
    <xf numFmtId="0" fontId="2" fillId="0" borderId="0" xfId="2" applyAlignment="1" applyProtection="1">
      <alignment horizontal="left"/>
      <protection locked="0"/>
    </xf>
    <xf numFmtId="49" fontId="3" fillId="0" borderId="0" xfId="2" applyNumberFormat="1" applyFont="1" applyAlignment="1" applyProtection="1">
      <alignment horizontal="left"/>
      <protection locked="0"/>
    </xf>
    <xf numFmtId="49" fontId="4" fillId="0" borderId="0" xfId="0" applyNumberFormat="1" applyFont="1" applyAlignment="1" applyProtection="1">
      <alignment horizontal="left"/>
      <protection locked="0"/>
    </xf>
    <xf numFmtId="14" fontId="2" fillId="0" borderId="0" xfId="2" applyNumberFormat="1" applyAlignment="1" applyProtection="1">
      <alignment horizontal="right"/>
      <protection locked="0"/>
    </xf>
    <xf numFmtId="49" fontId="4" fillId="0" borderId="0" xfId="2" applyNumberFormat="1" applyFont="1" applyAlignment="1" applyProtection="1">
      <alignment horizontal="left" vertical="center"/>
      <protection locked="0"/>
    </xf>
    <xf numFmtId="14" fontId="4" fillId="0" borderId="0" xfId="2" applyNumberFormat="1" applyFont="1" applyProtection="1">
      <protection locked="0"/>
    </xf>
    <xf numFmtId="0" fontId="2" fillId="0" borderId="0" xfId="0" applyFont="1" applyAlignment="1" applyProtection="1">
      <alignment horizontal="left"/>
      <protection locked="0"/>
    </xf>
    <xf numFmtId="165" fontId="2" fillId="0" borderId="0" xfId="3" applyAlignment="1" applyProtection="1">
      <alignment horizontal="left"/>
      <protection locked="0"/>
    </xf>
    <xf numFmtId="0" fontId="2" fillId="0" borderId="0" xfId="2" quotePrefix="1" applyProtection="1">
      <protection locked="0"/>
    </xf>
    <xf numFmtId="49" fontId="2" fillId="0" borderId="0" xfId="2" applyNumberFormat="1" applyAlignment="1" applyProtection="1">
      <alignment horizontal="left" vertical="center"/>
      <protection locked="0"/>
    </xf>
    <xf numFmtId="17" fontId="4" fillId="0" borderId="0" xfId="2" quotePrefix="1" applyNumberFormat="1" applyFont="1" applyProtection="1">
      <protection locked="0"/>
    </xf>
    <xf numFmtId="164" fontId="2" fillId="0" borderId="0" xfId="0" applyNumberFormat="1" applyFont="1" applyProtection="1">
      <protection locked="0"/>
    </xf>
    <xf numFmtId="0" fontId="4" fillId="0" borderId="0" xfId="2" applyFont="1" applyProtection="1">
      <protection locked="0"/>
    </xf>
    <xf numFmtId="49" fontId="2" fillId="0" borderId="0" xfId="2" applyNumberFormat="1" applyAlignment="1" applyProtection="1">
      <alignment vertical="center"/>
      <protection locked="0"/>
    </xf>
    <xf numFmtId="0" fontId="4" fillId="0" borderId="0" xfId="2" applyFont="1" applyAlignment="1" applyProtection="1">
      <alignment horizontal="left"/>
      <protection locked="0"/>
    </xf>
    <xf numFmtId="0" fontId="2" fillId="0" borderId="0" xfId="2" quotePrefix="1" applyAlignment="1" applyProtection="1">
      <alignment horizontal="left"/>
      <protection locked="0"/>
    </xf>
    <xf numFmtId="165" fontId="4" fillId="0" borderId="0" xfId="3" applyFont="1" applyAlignment="1" applyProtection="1">
      <alignment horizontal="left"/>
      <protection locked="0"/>
    </xf>
    <xf numFmtId="17" fontId="2" fillId="0" borderId="0" xfId="2" applyNumberFormat="1" applyProtection="1">
      <protection locked="0"/>
    </xf>
    <xf numFmtId="0" fontId="4" fillId="0" borderId="0" xfId="0" applyFont="1"/>
    <xf numFmtId="0" fontId="5" fillId="0" borderId="0" xfId="0" applyFont="1" applyProtection="1">
      <protection locked="0"/>
    </xf>
    <xf numFmtId="14" fontId="4" fillId="0" borderId="0" xfId="2" applyNumberFormat="1" applyFont="1" applyAlignment="1" applyProtection="1">
      <alignment horizontal="left"/>
      <protection locked="0"/>
    </xf>
    <xf numFmtId="14" fontId="2" fillId="0" borderId="0" xfId="0" applyNumberFormat="1" applyFont="1" applyAlignment="1" applyProtection="1">
      <alignment horizontal="left"/>
      <protection locked="0"/>
    </xf>
    <xf numFmtId="0" fontId="4" fillId="0" borderId="0" xfId="2" quotePrefix="1" applyFont="1" applyAlignment="1" applyProtection="1">
      <alignment horizontal="left"/>
      <protection locked="0"/>
    </xf>
    <xf numFmtId="0" fontId="4" fillId="0" borderId="0" xfId="0" quotePrefix="1" applyFont="1" applyProtection="1">
      <protection locked="0"/>
    </xf>
    <xf numFmtId="17" fontId="2" fillId="0" borderId="0" xfId="2" quotePrefix="1" applyNumberFormat="1" applyProtection="1">
      <protection locked="0"/>
    </xf>
    <xf numFmtId="0" fontId="6" fillId="0" borderId="0" xfId="0" applyFont="1" applyProtection="1">
      <protection locked="0"/>
    </xf>
    <xf numFmtId="0" fontId="4" fillId="0" borderId="0" xfId="0" quotePrefix="1" applyFont="1" applyAlignment="1" applyProtection="1">
      <alignment horizontal="left"/>
      <protection locked="0"/>
    </xf>
    <xf numFmtId="44" fontId="4" fillId="0" borderId="0" xfId="1" applyFont="1" applyFill="1" applyBorder="1" applyAlignment="1" applyProtection="1">
      <protection locked="0"/>
    </xf>
    <xf numFmtId="14" fontId="2" fillId="0" borderId="0" xfId="2" applyNumberFormat="1" applyAlignment="1" applyProtection="1">
      <alignment horizontal="left"/>
      <protection locked="0"/>
    </xf>
    <xf numFmtId="14" fontId="2" fillId="0" borderId="0" xfId="2" applyNumberFormat="1" applyProtection="1">
      <protection locked="0"/>
    </xf>
    <xf numFmtId="0" fontId="5" fillId="0" borderId="0" xfId="0" quotePrefix="1" applyFont="1" applyProtection="1">
      <protection locked="0"/>
    </xf>
    <xf numFmtId="0" fontId="4" fillId="0" borderId="0" xfId="0" quotePrefix="1" applyFont="1" applyAlignment="1" applyProtection="1">
      <alignment horizontal="left" vertical="center"/>
      <protection locked="0"/>
    </xf>
    <xf numFmtId="49" fontId="4" fillId="0" borderId="0" xfId="2" applyNumberFormat="1" applyFont="1" applyAlignment="1" applyProtection="1">
      <alignment vertical="center"/>
      <protection locked="0"/>
    </xf>
  </cellXfs>
  <cellStyles count="4">
    <cellStyle name="Euro" xfId="3" xr:uid="{5471AE4C-B81C-4277-AFBB-4B7D11EDD6D9}"/>
    <cellStyle name="Excel Built-in Normal" xfId="2" xr:uid="{CA55FD1A-2FB4-46CF-A791-D2690E0F8B92}"/>
    <cellStyle name="Normale" xfId="0" builtinId="0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43689-4205-4B1F-A2C0-F6B0035B0816}">
  <dimension ref="A1:Q95"/>
  <sheetViews>
    <sheetView tabSelected="1" topLeftCell="C1" zoomScale="80" zoomScaleNormal="80" workbookViewId="0">
      <pane ySplit="1" topLeftCell="A2" activePane="bottomLeft" state="frozen"/>
      <selection pane="bottomLeft" activeCell="Q30" sqref="Q30"/>
    </sheetView>
  </sheetViews>
  <sheetFormatPr defaultRowHeight="15" x14ac:dyDescent="0.25"/>
  <cols>
    <col min="1" max="1" width="11" bestFit="1" customWidth="1"/>
    <col min="2" max="2" width="16.140625" bestFit="1" customWidth="1"/>
    <col min="3" max="3" width="7.42578125" bestFit="1" customWidth="1"/>
    <col min="4" max="4" width="9.28515625" bestFit="1" customWidth="1"/>
    <col min="5" max="5" width="9" bestFit="1" customWidth="1"/>
    <col min="6" max="6" width="41.42578125" bestFit="1" customWidth="1"/>
    <col min="7" max="7" width="55.85546875" bestFit="1" customWidth="1"/>
    <col min="8" max="8" width="16" bestFit="1" customWidth="1"/>
    <col min="9" max="9" width="11.5703125" bestFit="1" customWidth="1"/>
    <col min="10" max="10" width="23.85546875" bestFit="1" customWidth="1"/>
    <col min="11" max="11" width="14.28515625" bestFit="1" customWidth="1"/>
    <col min="12" max="12" width="11" bestFit="1" customWidth="1"/>
    <col min="13" max="13" width="30.140625" bestFit="1" customWidth="1"/>
    <col min="14" max="14" width="41.85546875" customWidth="1"/>
    <col min="15" max="15" width="32.42578125" bestFit="1" customWidth="1"/>
    <col min="17" max="17" width="6.85546875" bestFit="1" customWidth="1"/>
  </cols>
  <sheetData>
    <row r="1" spans="1:16" s="6" customFormat="1" ht="28.9" customHeight="1" x14ac:dyDescent="0.2">
      <c r="A1" s="11" t="s">
        <v>0</v>
      </c>
      <c r="B1" s="19" t="s">
        <v>1</v>
      </c>
      <c r="C1" s="1" t="s">
        <v>2</v>
      </c>
      <c r="D1" s="2" t="s">
        <v>3</v>
      </c>
      <c r="E1" s="2" t="s">
        <v>4</v>
      </c>
      <c r="F1" s="3"/>
      <c r="G1" s="2" t="s">
        <v>5</v>
      </c>
      <c r="H1" s="4" t="s">
        <v>6</v>
      </c>
      <c r="I1" s="4" t="s">
        <v>7</v>
      </c>
      <c r="J1" s="4" t="s">
        <v>8</v>
      </c>
      <c r="K1" s="2" t="s">
        <v>9</v>
      </c>
      <c r="L1" s="3" t="s">
        <v>10</v>
      </c>
      <c r="M1" s="2" t="s">
        <v>11</v>
      </c>
      <c r="N1" s="3" t="s">
        <v>12</v>
      </c>
      <c r="O1" s="2" t="s">
        <v>13</v>
      </c>
    </row>
    <row r="2" spans="1:16" x14ac:dyDescent="0.25">
      <c r="A2" s="21">
        <v>45535</v>
      </c>
      <c r="B2" s="27" t="s">
        <v>41</v>
      </c>
      <c r="C2" s="23" t="s">
        <v>189</v>
      </c>
      <c r="D2" s="23" t="s">
        <v>35</v>
      </c>
      <c r="E2" s="6" t="s">
        <v>4</v>
      </c>
      <c r="F2" s="33" t="s">
        <v>190</v>
      </c>
      <c r="G2" s="30" t="s">
        <v>191</v>
      </c>
      <c r="H2" s="16">
        <v>72</v>
      </c>
      <c r="I2" s="16">
        <v>0</v>
      </c>
      <c r="J2" s="10">
        <v>72</v>
      </c>
      <c r="K2" s="25" t="s">
        <v>21</v>
      </c>
      <c r="L2" s="13" t="s">
        <v>18</v>
      </c>
      <c r="M2" s="14" t="s">
        <v>192</v>
      </c>
      <c r="N2" s="5" t="s">
        <v>135</v>
      </c>
      <c r="O2" s="6" t="s">
        <v>193</v>
      </c>
    </row>
    <row r="3" spans="1:16" x14ac:dyDescent="0.25">
      <c r="A3" s="21">
        <v>45667</v>
      </c>
      <c r="B3" s="27" t="s">
        <v>22</v>
      </c>
      <c r="C3" s="23" t="s">
        <v>189</v>
      </c>
      <c r="D3" s="23" t="s">
        <v>35</v>
      </c>
      <c r="E3" s="5" t="s">
        <v>4</v>
      </c>
      <c r="F3" s="33" t="s">
        <v>194</v>
      </c>
      <c r="G3" s="30" t="s">
        <v>191</v>
      </c>
      <c r="H3" s="16">
        <v>70</v>
      </c>
      <c r="I3" s="16">
        <v>0</v>
      </c>
      <c r="J3" s="10">
        <v>70</v>
      </c>
      <c r="K3" s="25" t="s">
        <v>21</v>
      </c>
      <c r="L3" s="18" t="s">
        <v>18</v>
      </c>
      <c r="M3" s="14" t="s">
        <v>192</v>
      </c>
      <c r="N3" s="5" t="s">
        <v>195</v>
      </c>
      <c r="O3" s="6" t="s">
        <v>193</v>
      </c>
    </row>
    <row r="4" spans="1:16" s="6" customFormat="1" ht="13.5" customHeight="1" x14ac:dyDescent="0.2">
      <c r="A4" s="7">
        <v>45404</v>
      </c>
      <c r="B4" s="8" t="s">
        <v>93</v>
      </c>
      <c r="C4" s="6" t="s">
        <v>112</v>
      </c>
      <c r="F4" s="41" t="s">
        <v>196</v>
      </c>
      <c r="G4" s="6" t="s">
        <v>197</v>
      </c>
      <c r="H4" s="16">
        <v>68</v>
      </c>
      <c r="I4" s="16">
        <v>14.96</v>
      </c>
      <c r="J4" s="10">
        <v>82.960000000000008</v>
      </c>
      <c r="K4" s="25" t="s">
        <v>117</v>
      </c>
      <c r="L4" s="6" t="s">
        <v>18</v>
      </c>
      <c r="M4" s="6" t="s">
        <v>19</v>
      </c>
      <c r="N4" s="6" t="s">
        <v>198</v>
      </c>
      <c r="P4" s="5"/>
    </row>
    <row r="5" spans="1:16" s="6" customFormat="1" ht="12.75" x14ac:dyDescent="0.2">
      <c r="A5" s="7">
        <v>45411</v>
      </c>
      <c r="B5" s="8" t="s">
        <v>93</v>
      </c>
      <c r="C5" s="6" t="s">
        <v>112</v>
      </c>
      <c r="F5" s="6" t="s">
        <v>199</v>
      </c>
      <c r="G5" s="12" t="s">
        <v>116</v>
      </c>
      <c r="H5" s="16">
        <v>32.79</v>
      </c>
      <c r="I5" s="16">
        <v>7.21</v>
      </c>
      <c r="J5" s="10">
        <v>40</v>
      </c>
      <c r="K5" s="25" t="s">
        <v>117</v>
      </c>
      <c r="L5" s="6" t="s">
        <v>18</v>
      </c>
      <c r="M5" s="6" t="s">
        <v>19</v>
      </c>
      <c r="N5" s="6" t="s">
        <v>118</v>
      </c>
      <c r="P5" s="5"/>
    </row>
    <row r="6" spans="1:16" s="6" customFormat="1" ht="12.75" x14ac:dyDescent="0.2">
      <c r="A6" s="21">
        <v>45412</v>
      </c>
      <c r="B6" s="31" t="s">
        <v>119</v>
      </c>
      <c r="C6" s="5" t="s">
        <v>92</v>
      </c>
      <c r="D6" s="5" t="s">
        <v>35</v>
      </c>
      <c r="E6" s="5"/>
      <c r="F6" s="33">
        <v>361</v>
      </c>
      <c r="G6" s="30" t="s">
        <v>81</v>
      </c>
      <c r="H6" s="10">
        <v>244</v>
      </c>
      <c r="I6" s="10">
        <v>0</v>
      </c>
      <c r="J6" s="10">
        <v>244</v>
      </c>
      <c r="K6" s="25" t="s">
        <v>42</v>
      </c>
      <c r="L6" s="13" t="s">
        <v>18</v>
      </c>
      <c r="M6" s="14" t="s">
        <v>19</v>
      </c>
      <c r="N6" s="42" t="s">
        <v>82</v>
      </c>
      <c r="P6" s="5"/>
    </row>
    <row r="7" spans="1:16" s="6" customFormat="1" ht="13.5" customHeight="1" x14ac:dyDescent="0.2">
      <c r="A7" s="21">
        <v>45412</v>
      </c>
      <c r="B7" s="31" t="s">
        <v>119</v>
      </c>
      <c r="C7" s="18" t="s">
        <v>112</v>
      </c>
      <c r="D7" s="5" t="s">
        <v>35</v>
      </c>
      <c r="E7" s="5" t="s">
        <v>4</v>
      </c>
      <c r="F7" s="18">
        <v>58</v>
      </c>
      <c r="G7" s="5" t="s">
        <v>113</v>
      </c>
      <c r="H7" s="17">
        <v>2098.4</v>
      </c>
      <c r="I7" s="17"/>
      <c r="J7" s="10">
        <v>2098.4</v>
      </c>
      <c r="K7" s="18" t="s">
        <v>21</v>
      </c>
      <c r="L7" s="5" t="s">
        <v>18</v>
      </c>
      <c r="M7" s="5" t="s">
        <v>19</v>
      </c>
      <c r="N7" s="5" t="s">
        <v>114</v>
      </c>
      <c r="O7" s="5" t="s">
        <v>115</v>
      </c>
      <c r="P7" s="5"/>
    </row>
    <row r="8" spans="1:16" s="6" customFormat="1" ht="12.75" x14ac:dyDescent="0.2">
      <c r="A8" s="21">
        <v>45412</v>
      </c>
      <c r="B8" s="27" t="s">
        <v>119</v>
      </c>
      <c r="C8" s="23" t="s">
        <v>200</v>
      </c>
      <c r="D8" s="23" t="s">
        <v>35</v>
      </c>
      <c r="E8" s="23"/>
      <c r="F8" s="33">
        <v>802450705</v>
      </c>
      <c r="G8" s="30" t="s">
        <v>16</v>
      </c>
      <c r="H8" s="10">
        <v>312.20999999999998</v>
      </c>
      <c r="I8" s="10">
        <v>0</v>
      </c>
      <c r="J8" s="10">
        <v>312.20999999999998</v>
      </c>
      <c r="K8" s="6" t="s">
        <v>17</v>
      </c>
      <c r="L8" s="13" t="s">
        <v>18</v>
      </c>
      <c r="M8" s="14" t="s">
        <v>19</v>
      </c>
      <c r="N8" s="5" t="s">
        <v>20</v>
      </c>
      <c r="O8" s="5"/>
      <c r="P8" s="5"/>
    </row>
    <row r="9" spans="1:16" s="6" customFormat="1" ht="12.75" x14ac:dyDescent="0.2">
      <c r="A9" s="21">
        <v>45412</v>
      </c>
      <c r="B9" s="22" t="s">
        <v>119</v>
      </c>
      <c r="C9" s="5" t="s">
        <v>201</v>
      </c>
      <c r="D9" s="23" t="s">
        <v>35</v>
      </c>
      <c r="E9" s="5" t="s">
        <v>4</v>
      </c>
      <c r="F9" s="44">
        <v>541</v>
      </c>
      <c r="G9" s="6" t="s">
        <v>202</v>
      </c>
      <c r="H9" s="16">
        <v>48.8</v>
      </c>
      <c r="I9" s="16">
        <v>0</v>
      </c>
      <c r="J9" s="10">
        <v>48.8</v>
      </c>
      <c r="K9" s="25" t="s">
        <v>21</v>
      </c>
      <c r="L9" s="5" t="s">
        <v>18</v>
      </c>
      <c r="M9" s="14" t="s">
        <v>19</v>
      </c>
      <c r="N9" s="30" t="s">
        <v>203</v>
      </c>
      <c r="O9" s="6" t="s">
        <v>80</v>
      </c>
      <c r="P9" s="5"/>
    </row>
    <row r="10" spans="1:16" s="6" customFormat="1" ht="12.75" x14ac:dyDescent="0.2">
      <c r="A10" s="15">
        <v>45636</v>
      </c>
      <c r="B10" s="22" t="s">
        <v>22</v>
      </c>
      <c r="C10" s="6" t="s">
        <v>15</v>
      </c>
      <c r="E10" s="6" t="s">
        <v>4</v>
      </c>
      <c r="F10" s="9">
        <v>2024010022</v>
      </c>
      <c r="G10" s="6" t="s">
        <v>23</v>
      </c>
      <c r="H10" s="16">
        <v>303.05</v>
      </c>
      <c r="I10" s="17">
        <v>0</v>
      </c>
      <c r="J10" s="10">
        <v>303.05</v>
      </c>
      <c r="K10" s="18" t="s">
        <v>21</v>
      </c>
      <c r="L10" s="13" t="s">
        <v>18</v>
      </c>
      <c r="M10" s="9" t="s">
        <v>24</v>
      </c>
      <c r="N10" s="9" t="s">
        <v>25</v>
      </c>
      <c r="O10" s="5" t="s">
        <v>26</v>
      </c>
    </row>
    <row r="11" spans="1:16" s="6" customFormat="1" ht="12.75" x14ac:dyDescent="0.2">
      <c r="A11" s="15">
        <v>45636</v>
      </c>
      <c r="B11" s="20" t="s">
        <v>22</v>
      </c>
      <c r="C11" s="6" t="s">
        <v>146</v>
      </c>
      <c r="E11" s="6" t="s">
        <v>4</v>
      </c>
      <c r="F11" s="9">
        <v>2024005048</v>
      </c>
      <c r="G11" s="6" t="s">
        <v>23</v>
      </c>
      <c r="H11" s="16">
        <v>31.65</v>
      </c>
      <c r="I11" s="17">
        <v>0</v>
      </c>
      <c r="J11" s="10">
        <v>31.65</v>
      </c>
      <c r="K11" s="18" t="s">
        <v>21</v>
      </c>
      <c r="L11" s="13" t="s">
        <v>18</v>
      </c>
      <c r="M11" s="9" t="s">
        <v>24</v>
      </c>
      <c r="N11" s="9" t="s">
        <v>204</v>
      </c>
      <c r="O11" s="5" t="s">
        <v>26</v>
      </c>
    </row>
    <row r="12" spans="1:16" s="6" customFormat="1" ht="12.75" x14ac:dyDescent="0.2">
      <c r="A12" s="21">
        <v>45606</v>
      </c>
      <c r="B12" s="22" t="s">
        <v>22</v>
      </c>
      <c r="C12" s="23" t="s">
        <v>189</v>
      </c>
      <c r="D12" s="23" t="s">
        <v>27</v>
      </c>
      <c r="E12" s="6" t="s">
        <v>4</v>
      </c>
      <c r="F12" s="24" t="s">
        <v>205</v>
      </c>
      <c r="G12" s="5" t="s">
        <v>28</v>
      </c>
      <c r="H12" s="16">
        <v>2800</v>
      </c>
      <c r="I12" s="10">
        <v>0</v>
      </c>
      <c r="J12" s="10">
        <v>2800</v>
      </c>
      <c r="K12" s="25" t="s">
        <v>21</v>
      </c>
      <c r="L12" s="5" t="s">
        <v>18</v>
      </c>
      <c r="M12" s="14" t="s">
        <v>29</v>
      </c>
      <c r="N12" s="6" t="s">
        <v>206</v>
      </c>
      <c r="O12" s="26" t="s">
        <v>30</v>
      </c>
      <c r="P12" s="5"/>
    </row>
    <row r="13" spans="1:16" s="6" customFormat="1" ht="13.5" customHeight="1" x14ac:dyDescent="0.2">
      <c r="A13" s="21">
        <v>45626</v>
      </c>
      <c r="B13" s="27" t="s">
        <v>22</v>
      </c>
      <c r="C13" s="5" t="s">
        <v>147</v>
      </c>
      <c r="D13" s="5"/>
      <c r="E13" s="5" t="s">
        <v>4</v>
      </c>
      <c r="F13" s="33" t="s">
        <v>148</v>
      </c>
      <c r="G13" s="5" t="s">
        <v>28</v>
      </c>
      <c r="H13" s="10">
        <v>706.5</v>
      </c>
      <c r="I13" s="10"/>
      <c r="J13" s="10">
        <v>706.5</v>
      </c>
      <c r="K13" s="25" t="s">
        <v>21</v>
      </c>
      <c r="L13" s="6" t="s">
        <v>18</v>
      </c>
      <c r="M13" s="14" t="s">
        <v>29</v>
      </c>
      <c r="N13" s="18" t="s">
        <v>149</v>
      </c>
      <c r="O13" s="26" t="s">
        <v>83</v>
      </c>
      <c r="P13" s="5"/>
    </row>
    <row r="14" spans="1:16" s="6" customFormat="1" ht="13.5" customHeight="1" x14ac:dyDescent="0.2">
      <c r="A14" s="7">
        <v>45493</v>
      </c>
      <c r="B14" s="31" t="s">
        <v>91</v>
      </c>
      <c r="C14" s="6" t="s">
        <v>201</v>
      </c>
      <c r="F14" s="9">
        <v>2024007033</v>
      </c>
      <c r="G14" s="9" t="s">
        <v>23</v>
      </c>
      <c r="H14" s="17">
        <v>2981.91</v>
      </c>
      <c r="I14" s="17">
        <v>0</v>
      </c>
      <c r="J14" s="10">
        <f t="shared" ref="J14:J15" si="0">H14+I14</f>
        <v>2981.91</v>
      </c>
      <c r="K14" s="6" t="s">
        <v>21</v>
      </c>
      <c r="L14" s="6" t="s">
        <v>18</v>
      </c>
      <c r="M14" s="9" t="s">
        <v>31</v>
      </c>
      <c r="N14" s="6" t="s">
        <v>95</v>
      </c>
      <c r="O14" s="5" t="s">
        <v>26</v>
      </c>
    </row>
    <row r="15" spans="1:16" s="6" customFormat="1" ht="13.5" customHeight="1" x14ac:dyDescent="0.2">
      <c r="A15" s="7">
        <v>45493</v>
      </c>
      <c r="B15" s="31" t="s">
        <v>91</v>
      </c>
      <c r="C15" s="6" t="s">
        <v>140</v>
      </c>
      <c r="F15" s="9">
        <v>2024008025</v>
      </c>
      <c r="G15" s="9" t="s">
        <v>23</v>
      </c>
      <c r="H15" s="17">
        <v>2427.73</v>
      </c>
      <c r="I15" s="17">
        <v>0</v>
      </c>
      <c r="J15" s="10">
        <f t="shared" si="0"/>
        <v>2427.73</v>
      </c>
      <c r="K15" s="6" t="s">
        <v>21</v>
      </c>
      <c r="L15" s="6" t="s">
        <v>18</v>
      </c>
      <c r="M15" s="9" t="s">
        <v>31</v>
      </c>
      <c r="N15" s="6" t="s">
        <v>95</v>
      </c>
      <c r="O15" s="5" t="s">
        <v>26</v>
      </c>
    </row>
    <row r="16" spans="1:16" s="6" customFormat="1" ht="12.75" x14ac:dyDescent="0.2">
      <c r="A16" s="21">
        <v>45483</v>
      </c>
      <c r="B16" s="27" t="s">
        <v>91</v>
      </c>
      <c r="C16" s="46" t="s">
        <v>179</v>
      </c>
      <c r="D16" s="5"/>
      <c r="E16" s="6" t="s">
        <v>4</v>
      </c>
      <c r="F16" s="18" t="s">
        <v>207</v>
      </c>
      <c r="G16" s="30" t="s">
        <v>162</v>
      </c>
      <c r="H16" s="16">
        <v>1800</v>
      </c>
      <c r="I16" s="10">
        <v>0</v>
      </c>
      <c r="J16" s="10">
        <v>1800</v>
      </c>
      <c r="K16" s="25" t="s">
        <v>21</v>
      </c>
      <c r="L16" s="13" t="s">
        <v>18</v>
      </c>
      <c r="M16" s="14" t="s">
        <v>121</v>
      </c>
      <c r="N16" s="28" t="s">
        <v>97</v>
      </c>
      <c r="O16" s="5" t="s">
        <v>163</v>
      </c>
      <c r="P16" s="5"/>
    </row>
    <row r="17" spans="1:17" s="6" customFormat="1" ht="12.75" x14ac:dyDescent="0.2">
      <c r="A17" s="21">
        <v>45483</v>
      </c>
      <c r="B17" s="27" t="s">
        <v>91</v>
      </c>
      <c r="C17" s="46" t="s">
        <v>179</v>
      </c>
      <c r="D17" s="5"/>
      <c r="E17" s="6" t="s">
        <v>4</v>
      </c>
      <c r="F17" s="18" t="s">
        <v>207</v>
      </c>
      <c r="G17" s="30" t="s">
        <v>180</v>
      </c>
      <c r="H17" s="29">
        <v>750</v>
      </c>
      <c r="I17" s="10">
        <v>0</v>
      </c>
      <c r="J17" s="10">
        <v>750</v>
      </c>
      <c r="K17" s="25" t="s">
        <v>21</v>
      </c>
      <c r="L17" s="13" t="s">
        <v>18</v>
      </c>
      <c r="M17" s="14" t="s">
        <v>121</v>
      </c>
      <c r="N17" s="28" t="s">
        <v>97</v>
      </c>
      <c r="O17" s="43" t="s">
        <v>181</v>
      </c>
      <c r="P17" s="5"/>
    </row>
    <row r="18" spans="1:17" s="6" customFormat="1" ht="13.5" customHeight="1" x14ac:dyDescent="0.2">
      <c r="A18" s="21">
        <v>45483</v>
      </c>
      <c r="B18" s="27" t="s">
        <v>91</v>
      </c>
      <c r="C18" s="38" t="s">
        <v>189</v>
      </c>
      <c r="D18" s="5"/>
      <c r="E18" s="6" t="s">
        <v>4</v>
      </c>
      <c r="F18" s="18" t="s">
        <v>207</v>
      </c>
      <c r="G18" s="30" t="s">
        <v>162</v>
      </c>
      <c r="H18" s="16">
        <v>1800</v>
      </c>
      <c r="I18" s="10">
        <v>0</v>
      </c>
      <c r="J18" s="10">
        <v>1800</v>
      </c>
      <c r="K18" s="25" t="s">
        <v>21</v>
      </c>
      <c r="L18" s="13" t="s">
        <v>18</v>
      </c>
      <c r="M18" s="14" t="s">
        <v>121</v>
      </c>
      <c r="N18" s="28" t="s">
        <v>97</v>
      </c>
      <c r="O18" s="5" t="s">
        <v>163</v>
      </c>
      <c r="P18" s="5"/>
    </row>
    <row r="19" spans="1:17" s="6" customFormat="1" ht="12.75" x14ac:dyDescent="0.2">
      <c r="A19" s="21">
        <v>45489</v>
      </c>
      <c r="B19" s="8" t="s">
        <v>91</v>
      </c>
      <c r="C19" s="6" t="s">
        <v>112</v>
      </c>
      <c r="F19" s="44" t="s">
        <v>136</v>
      </c>
      <c r="G19" s="9" t="s">
        <v>124</v>
      </c>
      <c r="H19" s="10">
        <v>1086</v>
      </c>
      <c r="I19" s="10">
        <v>0</v>
      </c>
      <c r="J19" s="10">
        <v>1086</v>
      </c>
      <c r="K19" s="6" t="s">
        <v>33</v>
      </c>
      <c r="L19" s="6" t="s">
        <v>18</v>
      </c>
      <c r="M19" s="6" t="s">
        <v>121</v>
      </c>
      <c r="N19" s="28" t="s">
        <v>97</v>
      </c>
    </row>
    <row r="20" spans="1:17" s="6" customFormat="1" ht="12.75" x14ac:dyDescent="0.2">
      <c r="A20" s="21">
        <v>45489</v>
      </c>
      <c r="B20" s="8" t="s">
        <v>91</v>
      </c>
      <c r="C20" s="6" t="s">
        <v>112</v>
      </c>
      <c r="F20" s="44" t="s">
        <v>136</v>
      </c>
      <c r="G20" s="9" t="s">
        <v>161</v>
      </c>
      <c r="H20" s="10">
        <v>1138</v>
      </c>
      <c r="I20" s="10">
        <v>0</v>
      </c>
      <c r="J20" s="10">
        <v>1138</v>
      </c>
      <c r="K20" s="6" t="s">
        <v>33</v>
      </c>
      <c r="L20" s="6" t="s">
        <v>18</v>
      </c>
      <c r="M20" s="6" t="s">
        <v>121</v>
      </c>
      <c r="N20" s="28" t="s">
        <v>97</v>
      </c>
    </row>
    <row r="21" spans="1:17" s="6" customFormat="1" ht="12.75" x14ac:dyDescent="0.2">
      <c r="A21" s="21">
        <v>45489</v>
      </c>
      <c r="B21" s="8" t="s">
        <v>91</v>
      </c>
      <c r="C21" s="6" t="s">
        <v>112</v>
      </c>
      <c r="F21" s="44" t="s">
        <v>136</v>
      </c>
      <c r="G21" s="9" t="s">
        <v>208</v>
      </c>
      <c r="H21" s="10">
        <v>405</v>
      </c>
      <c r="I21" s="10">
        <v>0</v>
      </c>
      <c r="J21" s="10">
        <v>405</v>
      </c>
      <c r="K21" s="6" t="s">
        <v>33</v>
      </c>
      <c r="L21" s="6" t="s">
        <v>18</v>
      </c>
      <c r="M21" s="6" t="s">
        <v>121</v>
      </c>
      <c r="N21" s="28" t="s">
        <v>97</v>
      </c>
    </row>
    <row r="22" spans="1:17" s="6" customFormat="1" ht="12.75" x14ac:dyDescent="0.2">
      <c r="A22" s="21">
        <v>45483</v>
      </c>
      <c r="B22" s="27" t="s">
        <v>91</v>
      </c>
      <c r="C22" s="46" t="s">
        <v>209</v>
      </c>
      <c r="D22" s="5"/>
      <c r="E22" s="5" t="s">
        <v>4</v>
      </c>
      <c r="F22" s="18"/>
      <c r="G22" s="30" t="s">
        <v>183</v>
      </c>
      <c r="H22" s="16">
        <v>812</v>
      </c>
      <c r="I22" s="10">
        <v>0</v>
      </c>
      <c r="J22" s="10">
        <v>812</v>
      </c>
      <c r="K22" s="25" t="s">
        <v>21</v>
      </c>
      <c r="L22" s="13" t="s">
        <v>18</v>
      </c>
      <c r="M22" s="14" t="s">
        <v>165</v>
      </c>
      <c r="N22" s="28" t="s">
        <v>97</v>
      </c>
      <c r="O22" s="26" t="s">
        <v>184</v>
      </c>
      <c r="P22" s="5"/>
    </row>
    <row r="23" spans="1:17" s="6" customFormat="1" ht="13.5" customHeight="1" x14ac:dyDescent="0.2">
      <c r="A23" s="21">
        <v>45483</v>
      </c>
      <c r="B23" s="27" t="s">
        <v>91</v>
      </c>
      <c r="C23" s="38" t="s">
        <v>189</v>
      </c>
      <c r="D23" s="5"/>
      <c r="E23" s="6" t="s">
        <v>4</v>
      </c>
      <c r="F23" s="18">
        <v>13</v>
      </c>
      <c r="G23" s="30" t="s">
        <v>164</v>
      </c>
      <c r="H23" s="16">
        <v>1836.33</v>
      </c>
      <c r="I23" s="10">
        <v>0</v>
      </c>
      <c r="J23" s="10">
        <v>1836.33</v>
      </c>
      <c r="K23" s="25" t="s">
        <v>21</v>
      </c>
      <c r="L23" s="13" t="s">
        <v>18</v>
      </c>
      <c r="M23" s="14" t="s">
        <v>165</v>
      </c>
      <c r="N23" s="28" t="s">
        <v>97</v>
      </c>
      <c r="O23" s="48" t="s">
        <v>166</v>
      </c>
    </row>
    <row r="24" spans="1:17" s="6" customFormat="1" ht="12.75" x14ac:dyDescent="0.2">
      <c r="A24" s="21">
        <v>45551</v>
      </c>
      <c r="B24" s="8" t="s">
        <v>105</v>
      </c>
      <c r="C24" s="6" t="s">
        <v>179</v>
      </c>
      <c r="F24" s="9"/>
      <c r="G24" s="9" t="s">
        <v>124</v>
      </c>
      <c r="H24" s="10">
        <v>1226</v>
      </c>
      <c r="I24" s="10">
        <v>0</v>
      </c>
      <c r="J24" s="10">
        <f t="shared" ref="J24" si="1">H24+I24</f>
        <v>1226</v>
      </c>
      <c r="K24" s="6" t="s">
        <v>33</v>
      </c>
      <c r="L24" s="6" t="s">
        <v>18</v>
      </c>
      <c r="M24" s="6" t="s">
        <v>165</v>
      </c>
      <c r="N24" s="6" t="s">
        <v>106</v>
      </c>
    </row>
    <row r="25" spans="1:17" s="6" customFormat="1" ht="13.5" customHeight="1" x14ac:dyDescent="0.2">
      <c r="A25" s="21">
        <v>45453</v>
      </c>
      <c r="B25" s="27" t="s">
        <v>94</v>
      </c>
      <c r="C25" s="18" t="s">
        <v>160</v>
      </c>
      <c r="D25" s="5"/>
      <c r="E25" s="6" t="s">
        <v>4</v>
      </c>
      <c r="F25" s="18"/>
      <c r="G25" s="30" t="s">
        <v>210</v>
      </c>
      <c r="H25" s="29">
        <v>2021.38</v>
      </c>
      <c r="I25" s="10">
        <v>0</v>
      </c>
      <c r="J25" s="10">
        <v>2021.38</v>
      </c>
      <c r="K25" s="25" t="s">
        <v>21</v>
      </c>
      <c r="L25" s="13" t="s">
        <v>18</v>
      </c>
      <c r="M25" s="14" t="s">
        <v>34</v>
      </c>
      <c r="N25" s="28" t="s">
        <v>122</v>
      </c>
      <c r="O25" s="26" t="s">
        <v>211</v>
      </c>
      <c r="P25" s="5"/>
      <c r="Q25" s="16"/>
    </row>
    <row r="26" spans="1:17" s="6" customFormat="1" ht="13.5" customHeight="1" x14ac:dyDescent="0.2">
      <c r="A26" s="21">
        <v>45453</v>
      </c>
      <c r="B26" s="27" t="s">
        <v>94</v>
      </c>
      <c r="C26" s="18" t="s">
        <v>160</v>
      </c>
      <c r="D26" s="5"/>
      <c r="E26" s="6" t="s">
        <v>4</v>
      </c>
      <c r="F26" s="18"/>
      <c r="G26" s="30" t="s">
        <v>212</v>
      </c>
      <c r="H26" s="29">
        <v>1350</v>
      </c>
      <c r="I26" s="10">
        <v>0</v>
      </c>
      <c r="J26" s="10">
        <v>1350</v>
      </c>
      <c r="K26" s="25" t="s">
        <v>21</v>
      </c>
      <c r="L26" s="13" t="s">
        <v>18</v>
      </c>
      <c r="M26" s="14" t="s">
        <v>34</v>
      </c>
      <c r="N26" s="28" t="s">
        <v>122</v>
      </c>
      <c r="O26" s="26" t="s">
        <v>213</v>
      </c>
      <c r="P26" s="5"/>
    </row>
    <row r="27" spans="1:17" s="6" customFormat="1" ht="12.75" x14ac:dyDescent="0.2">
      <c r="A27" s="21">
        <v>45453</v>
      </c>
      <c r="B27" s="27" t="s">
        <v>94</v>
      </c>
      <c r="C27" s="18" t="s">
        <v>160</v>
      </c>
      <c r="D27" s="23" t="s">
        <v>96</v>
      </c>
      <c r="E27" s="6" t="s">
        <v>4</v>
      </c>
      <c r="F27" s="33" t="s">
        <v>214</v>
      </c>
      <c r="G27" s="30" t="s">
        <v>84</v>
      </c>
      <c r="H27" s="16">
        <v>286.76</v>
      </c>
      <c r="I27" s="16">
        <v>0</v>
      </c>
      <c r="J27" s="10">
        <v>286.76</v>
      </c>
      <c r="K27" s="25" t="s">
        <v>21</v>
      </c>
      <c r="L27" s="13" t="s">
        <v>18</v>
      </c>
      <c r="M27" s="14" t="s">
        <v>34</v>
      </c>
      <c r="N27" s="28" t="s">
        <v>167</v>
      </c>
      <c r="O27" s="26" t="s">
        <v>85</v>
      </c>
      <c r="P27" s="5"/>
    </row>
    <row r="28" spans="1:17" s="6" customFormat="1" ht="13.5" customHeight="1" x14ac:dyDescent="0.2">
      <c r="A28" s="21">
        <v>45443</v>
      </c>
      <c r="B28" s="31" t="s">
        <v>94</v>
      </c>
      <c r="C28" s="5" t="s">
        <v>92</v>
      </c>
      <c r="D28" s="5" t="s">
        <v>35</v>
      </c>
      <c r="E28" s="5" t="s">
        <v>4</v>
      </c>
      <c r="F28" s="18">
        <v>29</v>
      </c>
      <c r="G28" s="30" t="s">
        <v>103</v>
      </c>
      <c r="H28" s="10">
        <v>7500</v>
      </c>
      <c r="I28" s="10">
        <v>0</v>
      </c>
      <c r="J28" s="10">
        <v>7500</v>
      </c>
      <c r="K28" s="25" t="s">
        <v>21</v>
      </c>
      <c r="L28" s="13" t="s">
        <v>18</v>
      </c>
      <c r="M28" s="14" t="s">
        <v>37</v>
      </c>
      <c r="N28" s="5" t="s">
        <v>99</v>
      </c>
      <c r="O28" s="26" t="s">
        <v>104</v>
      </c>
      <c r="P28" s="5"/>
    </row>
    <row r="29" spans="1:17" s="6" customFormat="1" ht="13.5" customHeight="1" x14ac:dyDescent="0.2">
      <c r="A29" s="21">
        <v>45443</v>
      </c>
      <c r="B29" s="31" t="s">
        <v>93</v>
      </c>
      <c r="C29" s="18" t="s">
        <v>92</v>
      </c>
      <c r="D29" s="5"/>
      <c r="E29" s="5"/>
      <c r="F29" s="18" t="s">
        <v>215</v>
      </c>
      <c r="G29" s="5" t="s">
        <v>101</v>
      </c>
      <c r="H29" s="17">
        <v>5390</v>
      </c>
      <c r="I29" s="17">
        <v>0</v>
      </c>
      <c r="J29" s="10">
        <v>5390</v>
      </c>
      <c r="K29" s="18" t="s">
        <v>21</v>
      </c>
      <c r="L29" s="14" t="s">
        <v>18</v>
      </c>
      <c r="M29" s="14" t="s">
        <v>37</v>
      </c>
      <c r="N29" s="5" t="s">
        <v>38</v>
      </c>
      <c r="O29" s="5" t="s">
        <v>102</v>
      </c>
      <c r="P29" s="5"/>
    </row>
    <row r="30" spans="1:17" s="6" customFormat="1" ht="13.5" customHeight="1" x14ac:dyDescent="0.2">
      <c r="A30" s="21">
        <v>45443</v>
      </c>
      <c r="B30" s="27" t="s">
        <v>94</v>
      </c>
      <c r="C30" s="5" t="s">
        <v>112</v>
      </c>
      <c r="D30" s="5" t="s">
        <v>35</v>
      </c>
      <c r="E30" s="5" t="s">
        <v>4</v>
      </c>
      <c r="F30" s="18">
        <v>73</v>
      </c>
      <c r="G30" s="5" t="s">
        <v>126</v>
      </c>
      <c r="H30" s="17">
        <v>2196.7199999999998</v>
      </c>
      <c r="I30" s="17">
        <v>483.28</v>
      </c>
      <c r="J30" s="10">
        <v>2680</v>
      </c>
      <c r="K30" s="18" t="s">
        <v>21</v>
      </c>
      <c r="L30" s="13" t="s">
        <v>18</v>
      </c>
      <c r="M30" s="5" t="s">
        <v>37</v>
      </c>
      <c r="N30" s="5" t="s">
        <v>127</v>
      </c>
      <c r="O30" s="5" t="s">
        <v>128</v>
      </c>
      <c r="P30" s="5"/>
    </row>
    <row r="31" spans="1:17" s="6" customFormat="1" ht="12.75" x14ac:dyDescent="0.2">
      <c r="A31" s="7">
        <v>45443</v>
      </c>
      <c r="B31" s="31" t="s">
        <v>94</v>
      </c>
      <c r="C31" s="18" t="s">
        <v>140</v>
      </c>
      <c r="D31" s="5"/>
      <c r="E31" s="5"/>
      <c r="F31" s="18">
        <v>23</v>
      </c>
      <c r="G31" s="5" t="s">
        <v>98</v>
      </c>
      <c r="H31" s="17">
        <v>9500</v>
      </c>
      <c r="I31" s="17">
        <v>0</v>
      </c>
      <c r="J31" s="10">
        <v>9500</v>
      </c>
      <c r="K31" s="18" t="s">
        <v>21</v>
      </c>
      <c r="L31" s="5" t="s">
        <v>18</v>
      </c>
      <c r="M31" s="5" t="s">
        <v>37</v>
      </c>
      <c r="N31" s="5" t="s">
        <v>216</v>
      </c>
      <c r="O31" s="5" t="s">
        <v>100</v>
      </c>
      <c r="P31" s="5"/>
    </row>
    <row r="32" spans="1:17" s="6" customFormat="1" ht="12.75" x14ac:dyDescent="0.2">
      <c r="A32" s="21">
        <v>45443</v>
      </c>
      <c r="B32" s="31" t="s">
        <v>111</v>
      </c>
      <c r="C32" s="18" t="s">
        <v>140</v>
      </c>
      <c r="D32" s="23" t="s">
        <v>35</v>
      </c>
      <c r="E32" s="5" t="s">
        <v>4</v>
      </c>
      <c r="F32" s="32">
        <v>18</v>
      </c>
      <c r="G32" s="30" t="s">
        <v>36</v>
      </c>
      <c r="H32" s="29">
        <v>3800</v>
      </c>
      <c r="I32" s="10">
        <v>0</v>
      </c>
      <c r="J32" s="10">
        <v>3800</v>
      </c>
      <c r="K32" s="25" t="s">
        <v>21</v>
      </c>
      <c r="L32" s="13" t="s">
        <v>18</v>
      </c>
      <c r="M32" s="14" t="s">
        <v>37</v>
      </c>
      <c r="N32" s="30" t="s">
        <v>216</v>
      </c>
      <c r="O32" s="26" t="s">
        <v>39</v>
      </c>
      <c r="P32" s="5"/>
    </row>
    <row r="33" spans="1:16" s="6" customFormat="1" ht="12.75" x14ac:dyDescent="0.2">
      <c r="A33" s="21">
        <v>45443</v>
      </c>
      <c r="B33" s="22" t="s">
        <v>93</v>
      </c>
      <c r="C33" s="47" t="s">
        <v>140</v>
      </c>
      <c r="D33" s="5" t="s">
        <v>35</v>
      </c>
      <c r="E33" s="5" t="s">
        <v>4</v>
      </c>
      <c r="F33" s="33" t="s">
        <v>217</v>
      </c>
      <c r="G33" s="30" t="s">
        <v>218</v>
      </c>
      <c r="H33" s="10">
        <v>4275.2</v>
      </c>
      <c r="I33" s="16">
        <v>0</v>
      </c>
      <c r="J33" s="10">
        <v>4275.2</v>
      </c>
      <c r="K33" s="34" t="s">
        <v>21</v>
      </c>
      <c r="L33" s="13" t="s">
        <v>18</v>
      </c>
      <c r="M33" s="14" t="s">
        <v>37</v>
      </c>
      <c r="N33" s="26" t="s">
        <v>216</v>
      </c>
      <c r="O33" s="6" t="s">
        <v>219</v>
      </c>
      <c r="P33" s="5"/>
    </row>
    <row r="34" spans="1:16" s="6" customFormat="1" ht="12.75" x14ac:dyDescent="0.2">
      <c r="A34" s="21">
        <v>45443</v>
      </c>
      <c r="B34" s="31" t="s">
        <v>119</v>
      </c>
      <c r="C34" s="46" t="s">
        <v>209</v>
      </c>
      <c r="D34" s="5" t="s">
        <v>35</v>
      </c>
      <c r="E34" s="5" t="s">
        <v>4</v>
      </c>
      <c r="F34" s="9">
        <v>26</v>
      </c>
      <c r="G34" s="6" t="s">
        <v>220</v>
      </c>
      <c r="H34" s="45">
        <v>408</v>
      </c>
      <c r="I34" s="10">
        <v>0</v>
      </c>
      <c r="J34" s="10">
        <v>408</v>
      </c>
      <c r="K34" s="25" t="s">
        <v>21</v>
      </c>
      <c r="L34" s="13" t="s">
        <v>18</v>
      </c>
      <c r="M34" s="14" t="s">
        <v>40</v>
      </c>
      <c r="N34" s="5" t="s">
        <v>221</v>
      </c>
      <c r="O34" s="41" t="s">
        <v>222</v>
      </c>
      <c r="P34" s="5"/>
    </row>
    <row r="35" spans="1:16" s="6" customFormat="1" ht="12.75" x14ac:dyDescent="0.2">
      <c r="A35" s="21">
        <v>45459</v>
      </c>
      <c r="B35" s="31" t="s">
        <v>119</v>
      </c>
      <c r="C35" s="46" t="s">
        <v>209</v>
      </c>
      <c r="D35" s="5" t="s">
        <v>35</v>
      </c>
      <c r="E35" s="5"/>
      <c r="F35" s="9">
        <v>26</v>
      </c>
      <c r="G35" s="6" t="s">
        <v>220</v>
      </c>
      <c r="H35" s="45">
        <v>80</v>
      </c>
      <c r="I35" s="10">
        <v>0</v>
      </c>
      <c r="J35" s="10">
        <v>80</v>
      </c>
      <c r="K35" s="34" t="s">
        <v>33</v>
      </c>
      <c r="L35" s="13" t="s">
        <v>18</v>
      </c>
      <c r="M35" s="14" t="s">
        <v>40</v>
      </c>
      <c r="N35" s="5" t="s">
        <v>221</v>
      </c>
      <c r="O35" s="41"/>
      <c r="P35" s="5"/>
    </row>
    <row r="36" spans="1:16" s="6" customFormat="1" ht="13.5" customHeight="1" x14ac:dyDescent="0.2">
      <c r="A36" s="21">
        <v>45473</v>
      </c>
      <c r="B36" s="27" t="s">
        <v>93</v>
      </c>
      <c r="C36" s="38" t="s">
        <v>146</v>
      </c>
      <c r="D36" s="5" t="s">
        <v>35</v>
      </c>
      <c r="E36" s="6" t="s">
        <v>4</v>
      </c>
      <c r="F36" s="9">
        <v>13</v>
      </c>
      <c r="G36" s="6" t="s">
        <v>150</v>
      </c>
      <c r="H36" s="16">
        <v>560</v>
      </c>
      <c r="I36" s="10">
        <v>0</v>
      </c>
      <c r="J36" s="10">
        <v>560</v>
      </c>
      <c r="K36" s="25" t="s">
        <v>21</v>
      </c>
      <c r="L36" s="6" t="s">
        <v>18</v>
      </c>
      <c r="M36" s="14" t="s">
        <v>40</v>
      </c>
      <c r="N36" s="5" t="s">
        <v>178</v>
      </c>
      <c r="O36" s="41" t="s">
        <v>151</v>
      </c>
      <c r="P36" s="5"/>
    </row>
    <row r="37" spans="1:16" s="6" customFormat="1" ht="13.5" customHeight="1" x14ac:dyDescent="0.2">
      <c r="A37" s="21">
        <v>45473</v>
      </c>
      <c r="B37" s="31" t="s">
        <v>91</v>
      </c>
      <c r="C37" s="18" t="s">
        <v>112</v>
      </c>
      <c r="D37" s="5"/>
      <c r="E37" s="5"/>
      <c r="F37" s="18"/>
      <c r="G37" s="5" t="s">
        <v>120</v>
      </c>
      <c r="H37" s="17">
        <v>12691</v>
      </c>
      <c r="I37" s="17"/>
      <c r="J37" s="10">
        <f t="shared" ref="J37" si="2">H37+I37</f>
        <v>12691</v>
      </c>
      <c r="K37" s="18" t="s">
        <v>21</v>
      </c>
      <c r="L37" s="5" t="s">
        <v>18</v>
      </c>
      <c r="M37" s="5" t="s">
        <v>129</v>
      </c>
      <c r="N37" s="5" t="s">
        <v>130</v>
      </c>
      <c r="O37" s="26" t="s">
        <v>123</v>
      </c>
      <c r="P37" s="5"/>
    </row>
    <row r="38" spans="1:16" s="6" customFormat="1" ht="12.75" x14ac:dyDescent="0.2">
      <c r="A38" s="21">
        <v>45732</v>
      </c>
      <c r="B38" s="31" t="s">
        <v>14</v>
      </c>
      <c r="C38" s="18" t="s">
        <v>112</v>
      </c>
      <c r="D38" s="5"/>
      <c r="E38" s="5"/>
      <c r="F38" s="18" t="s">
        <v>131</v>
      </c>
      <c r="G38" s="5" t="s">
        <v>132</v>
      </c>
      <c r="H38" s="17">
        <v>4740.07</v>
      </c>
      <c r="I38" s="17">
        <v>0</v>
      </c>
      <c r="J38" s="10">
        <v>4740.07</v>
      </c>
      <c r="K38" s="18" t="s">
        <v>33</v>
      </c>
      <c r="L38" s="6" t="s">
        <v>18</v>
      </c>
      <c r="M38" s="5" t="s">
        <v>133</v>
      </c>
      <c r="N38" s="18" t="s">
        <v>134</v>
      </c>
      <c r="O38" s="5"/>
      <c r="P38" s="5"/>
    </row>
    <row r="39" spans="1:16" s="6" customFormat="1" ht="13.5" customHeight="1" x14ac:dyDescent="0.2">
      <c r="A39" s="21">
        <v>45732</v>
      </c>
      <c r="B39" s="31" t="s">
        <v>14</v>
      </c>
      <c r="C39" s="18" t="s">
        <v>112</v>
      </c>
      <c r="D39" s="5"/>
      <c r="E39" s="5"/>
      <c r="F39" s="33" t="s">
        <v>223</v>
      </c>
      <c r="G39" s="5" t="s">
        <v>224</v>
      </c>
      <c r="H39" s="17">
        <v>3130</v>
      </c>
      <c r="I39" s="17">
        <v>0</v>
      </c>
      <c r="J39" s="10">
        <v>3130</v>
      </c>
      <c r="K39" s="18" t="s">
        <v>33</v>
      </c>
      <c r="L39" s="6" t="s">
        <v>18</v>
      </c>
      <c r="M39" s="5" t="s">
        <v>133</v>
      </c>
      <c r="N39" s="18" t="s">
        <v>225</v>
      </c>
      <c r="O39" s="5" t="s">
        <v>226</v>
      </c>
      <c r="P39" s="5"/>
    </row>
    <row r="40" spans="1:16" s="6" customFormat="1" ht="12.75" x14ac:dyDescent="0.2">
      <c r="A40" s="7">
        <v>45688</v>
      </c>
      <c r="B40" s="8" t="s">
        <v>22</v>
      </c>
      <c r="C40" s="6" t="s">
        <v>227</v>
      </c>
      <c r="F40" s="44" t="s">
        <v>228</v>
      </c>
      <c r="G40" s="6" t="s">
        <v>229</v>
      </c>
      <c r="H40" s="10">
        <v>36</v>
      </c>
      <c r="I40" s="10">
        <v>0</v>
      </c>
      <c r="J40" s="10">
        <v>36</v>
      </c>
      <c r="K40" s="6" t="s">
        <v>42</v>
      </c>
      <c r="L40" s="6" t="s">
        <v>18</v>
      </c>
      <c r="M40" s="6" t="s">
        <v>43</v>
      </c>
      <c r="N40" s="6" t="s">
        <v>230</v>
      </c>
    </row>
    <row r="41" spans="1:16" s="6" customFormat="1" ht="12.75" x14ac:dyDescent="0.2">
      <c r="A41" s="7">
        <v>45688</v>
      </c>
      <c r="B41" s="8" t="s">
        <v>14</v>
      </c>
      <c r="C41" s="6" t="s">
        <v>231</v>
      </c>
      <c r="F41" s="9">
        <v>2447510430</v>
      </c>
      <c r="G41" s="6" t="s">
        <v>232</v>
      </c>
      <c r="H41" s="10">
        <v>228.07</v>
      </c>
      <c r="I41" s="10">
        <v>0</v>
      </c>
      <c r="J41" s="10">
        <v>228.07</v>
      </c>
      <c r="K41" s="6" t="s">
        <v>42</v>
      </c>
      <c r="L41" s="6" t="s">
        <v>18</v>
      </c>
      <c r="M41" s="6" t="s">
        <v>43</v>
      </c>
      <c r="N41" s="6" t="s">
        <v>233</v>
      </c>
    </row>
    <row r="42" spans="1:16" x14ac:dyDescent="0.25">
      <c r="A42" s="7">
        <v>45573</v>
      </c>
      <c r="B42" s="8" t="s">
        <v>32</v>
      </c>
      <c r="C42" s="6" t="s">
        <v>201</v>
      </c>
      <c r="D42" s="6"/>
      <c r="E42" s="6"/>
      <c r="F42" s="9">
        <v>2024007044</v>
      </c>
      <c r="G42" s="6" t="s">
        <v>23</v>
      </c>
      <c r="H42" s="10">
        <v>18300</v>
      </c>
      <c r="I42" s="10">
        <v>0</v>
      </c>
      <c r="J42" s="10">
        <f t="shared" ref="J42:J43" si="3">H42+I42</f>
        <v>18300</v>
      </c>
      <c r="K42" s="6" t="s">
        <v>21</v>
      </c>
      <c r="L42" s="6" t="s">
        <v>18</v>
      </c>
      <c r="M42" s="9" t="s">
        <v>153</v>
      </c>
      <c r="N42" s="5" t="s">
        <v>234</v>
      </c>
      <c r="O42" s="5" t="s">
        <v>26</v>
      </c>
    </row>
    <row r="43" spans="1:16" x14ac:dyDescent="0.25">
      <c r="A43" s="7">
        <v>45573</v>
      </c>
      <c r="B43" s="8" t="s">
        <v>32</v>
      </c>
      <c r="C43" s="6" t="s">
        <v>140</v>
      </c>
      <c r="D43" s="6"/>
      <c r="E43" s="6"/>
      <c r="F43" s="9">
        <v>2024008036</v>
      </c>
      <c r="G43" s="6" t="s">
        <v>23</v>
      </c>
      <c r="H43" s="10">
        <v>24400</v>
      </c>
      <c r="I43" s="10">
        <v>0</v>
      </c>
      <c r="J43" s="10">
        <f t="shared" si="3"/>
        <v>24400</v>
      </c>
      <c r="K43" s="6" t="s">
        <v>21</v>
      </c>
      <c r="L43" s="6" t="s">
        <v>18</v>
      </c>
      <c r="M43" s="9" t="s">
        <v>153</v>
      </c>
      <c r="N43" s="26" t="s">
        <v>235</v>
      </c>
      <c r="O43" s="5" t="s">
        <v>26</v>
      </c>
    </row>
    <row r="44" spans="1:16" x14ac:dyDescent="0.25">
      <c r="A44" s="21">
        <v>45399</v>
      </c>
      <c r="B44" s="31" t="s">
        <v>93</v>
      </c>
      <c r="C44" s="46" t="s">
        <v>209</v>
      </c>
      <c r="D44" s="23" t="s">
        <v>96</v>
      </c>
      <c r="E44" s="23"/>
      <c r="F44" s="18" t="s">
        <v>236</v>
      </c>
      <c r="G44" s="30" t="s">
        <v>44</v>
      </c>
      <c r="H44" s="29">
        <v>3296.45</v>
      </c>
      <c r="I44" s="10">
        <v>0</v>
      </c>
      <c r="J44" s="10">
        <v>3296.45</v>
      </c>
      <c r="K44" s="34" t="s">
        <v>42</v>
      </c>
      <c r="L44" s="13" t="s">
        <v>18</v>
      </c>
      <c r="M44" s="14" t="s">
        <v>45</v>
      </c>
      <c r="N44" s="5" t="s">
        <v>46</v>
      </c>
    </row>
    <row r="45" spans="1:16" x14ac:dyDescent="0.25">
      <c r="A45" s="21">
        <v>45406</v>
      </c>
      <c r="B45" s="31" t="s">
        <v>93</v>
      </c>
      <c r="C45" s="46" t="s">
        <v>179</v>
      </c>
      <c r="D45" s="23" t="s">
        <v>96</v>
      </c>
      <c r="E45" s="23"/>
      <c r="F45" s="32" t="s">
        <v>185</v>
      </c>
      <c r="G45" s="30" t="s">
        <v>44</v>
      </c>
      <c r="H45" s="16">
        <v>2844</v>
      </c>
      <c r="I45" s="10">
        <v>0</v>
      </c>
      <c r="J45" s="10">
        <v>2844</v>
      </c>
      <c r="K45" s="34" t="s">
        <v>42</v>
      </c>
      <c r="L45" s="14" t="s">
        <v>18</v>
      </c>
      <c r="M45" s="14" t="s">
        <v>45</v>
      </c>
      <c r="N45" s="5" t="s">
        <v>46</v>
      </c>
    </row>
    <row r="46" spans="1:16" x14ac:dyDescent="0.25">
      <c r="A46" s="21">
        <v>45412</v>
      </c>
      <c r="B46" s="31" t="s">
        <v>93</v>
      </c>
      <c r="C46" s="18" t="s">
        <v>147</v>
      </c>
      <c r="D46" s="5"/>
      <c r="E46" s="5"/>
      <c r="F46" s="33" t="s">
        <v>154</v>
      </c>
      <c r="G46" s="30" t="s">
        <v>107</v>
      </c>
      <c r="H46" s="17">
        <v>3827.55</v>
      </c>
      <c r="I46" s="10">
        <v>0</v>
      </c>
      <c r="J46" s="10">
        <v>3827.55</v>
      </c>
      <c r="K46" s="6" t="s">
        <v>42</v>
      </c>
      <c r="L46" s="5" t="s">
        <v>18</v>
      </c>
      <c r="M46" s="14" t="s">
        <v>45</v>
      </c>
      <c r="N46" s="5" t="s">
        <v>155</v>
      </c>
    </row>
    <row r="47" spans="1:16" x14ac:dyDescent="0.25">
      <c r="A47" s="21">
        <v>45412</v>
      </c>
      <c r="B47" s="31" t="s">
        <v>93</v>
      </c>
      <c r="C47" s="18" t="s">
        <v>201</v>
      </c>
      <c r="D47" s="5"/>
      <c r="E47" s="5"/>
      <c r="F47" s="18" t="s">
        <v>237</v>
      </c>
      <c r="G47" s="5" t="s">
        <v>107</v>
      </c>
      <c r="H47" s="17">
        <v>4998.18</v>
      </c>
      <c r="I47" s="10">
        <v>0</v>
      </c>
      <c r="J47" s="10">
        <v>4998.18</v>
      </c>
      <c r="K47" s="6" t="s">
        <v>42</v>
      </c>
      <c r="L47" s="5" t="s">
        <v>18</v>
      </c>
      <c r="M47" s="5" t="s">
        <v>45</v>
      </c>
      <c r="N47" s="5" t="s">
        <v>155</v>
      </c>
    </row>
    <row r="48" spans="1:16" x14ac:dyDescent="0.25">
      <c r="A48" s="21">
        <v>45412</v>
      </c>
      <c r="B48" s="31" t="s">
        <v>93</v>
      </c>
      <c r="C48" s="18" t="s">
        <v>140</v>
      </c>
      <c r="D48" s="5"/>
      <c r="E48" s="5"/>
      <c r="F48" s="18" t="s">
        <v>238</v>
      </c>
      <c r="G48" s="26" t="s">
        <v>107</v>
      </c>
      <c r="H48" s="17">
        <v>527.08000000000004</v>
      </c>
      <c r="I48" s="10">
        <v>0</v>
      </c>
      <c r="J48" s="10">
        <v>527.08000000000004</v>
      </c>
      <c r="K48" s="6" t="s">
        <v>42</v>
      </c>
      <c r="L48" s="5" t="s">
        <v>18</v>
      </c>
      <c r="M48" s="5" t="s">
        <v>45</v>
      </c>
      <c r="N48" s="5" t="s">
        <v>46</v>
      </c>
    </row>
    <row r="49" spans="1:16" x14ac:dyDescent="0.25">
      <c r="A49" s="21">
        <v>45397</v>
      </c>
      <c r="B49" s="27" t="s">
        <v>93</v>
      </c>
      <c r="C49" s="23" t="s">
        <v>189</v>
      </c>
      <c r="D49" s="23" t="s">
        <v>96</v>
      </c>
      <c r="E49" s="23"/>
      <c r="F49" s="18" t="s">
        <v>239</v>
      </c>
      <c r="G49" s="30" t="s">
        <v>125</v>
      </c>
      <c r="H49" s="16">
        <v>500</v>
      </c>
      <c r="I49" s="10">
        <v>0</v>
      </c>
      <c r="J49" s="10">
        <v>500</v>
      </c>
      <c r="K49" s="34" t="s">
        <v>42</v>
      </c>
      <c r="L49" s="13" t="s">
        <v>18</v>
      </c>
      <c r="M49" s="14" t="s">
        <v>172</v>
      </c>
      <c r="N49" s="35" t="s">
        <v>46</v>
      </c>
      <c r="O49" s="5"/>
    </row>
    <row r="50" spans="1:16" x14ac:dyDescent="0.25">
      <c r="A50" s="21">
        <v>45427</v>
      </c>
      <c r="B50" s="27" t="s">
        <v>94</v>
      </c>
      <c r="C50" s="5" t="s">
        <v>160</v>
      </c>
      <c r="D50" s="23" t="s">
        <v>170</v>
      </c>
      <c r="E50" s="23"/>
      <c r="F50" s="49" t="s">
        <v>171</v>
      </c>
      <c r="G50" s="5" t="s">
        <v>28</v>
      </c>
      <c r="H50" s="10">
        <v>500</v>
      </c>
      <c r="I50" s="10">
        <v>0</v>
      </c>
      <c r="J50" s="10">
        <v>500</v>
      </c>
      <c r="K50" s="25" t="s">
        <v>42</v>
      </c>
      <c r="L50" s="13" t="s">
        <v>18</v>
      </c>
      <c r="M50" s="14" t="s">
        <v>172</v>
      </c>
      <c r="N50" s="39" t="s">
        <v>46</v>
      </c>
      <c r="O50" s="26" t="s">
        <v>30</v>
      </c>
    </row>
    <row r="51" spans="1:16" x14ac:dyDescent="0.25">
      <c r="A51" s="21">
        <v>45427</v>
      </c>
      <c r="B51" s="27" t="s">
        <v>94</v>
      </c>
      <c r="C51" s="47" t="s">
        <v>179</v>
      </c>
      <c r="D51" s="23" t="s">
        <v>96</v>
      </c>
      <c r="E51" s="23"/>
      <c r="F51" s="32" t="s">
        <v>186</v>
      </c>
      <c r="G51" s="5" t="s">
        <v>28</v>
      </c>
      <c r="H51" s="16">
        <v>500</v>
      </c>
      <c r="I51" s="10">
        <v>0</v>
      </c>
      <c r="J51" s="10">
        <v>500</v>
      </c>
      <c r="K51" s="34" t="s">
        <v>42</v>
      </c>
      <c r="L51" s="13" t="s">
        <v>18</v>
      </c>
      <c r="M51" s="14" t="s">
        <v>172</v>
      </c>
      <c r="N51" s="35" t="s">
        <v>46</v>
      </c>
      <c r="O51" s="5"/>
    </row>
    <row r="52" spans="1:16" x14ac:dyDescent="0.25">
      <c r="A52" s="21">
        <v>45398</v>
      </c>
      <c r="B52" s="8" t="s">
        <v>119</v>
      </c>
      <c r="C52" s="18" t="s">
        <v>147</v>
      </c>
      <c r="D52" s="6"/>
      <c r="E52" s="6"/>
      <c r="F52" s="33"/>
      <c r="G52" s="6" t="s">
        <v>7</v>
      </c>
      <c r="H52" s="10">
        <v>143</v>
      </c>
      <c r="I52" s="10">
        <v>0</v>
      </c>
      <c r="J52" s="10">
        <v>143</v>
      </c>
      <c r="K52" s="25" t="s">
        <v>33</v>
      </c>
      <c r="L52" s="13" t="s">
        <v>18</v>
      </c>
      <c r="M52" s="14" t="s">
        <v>47</v>
      </c>
      <c r="N52" s="5" t="s">
        <v>240</v>
      </c>
    </row>
    <row r="53" spans="1:16" x14ac:dyDescent="0.25">
      <c r="A53" s="21">
        <v>45398</v>
      </c>
      <c r="B53" s="8" t="s">
        <v>119</v>
      </c>
      <c r="C53" s="18" t="s">
        <v>179</v>
      </c>
      <c r="D53" s="6"/>
      <c r="E53" s="6"/>
      <c r="F53" s="33"/>
      <c r="G53" s="6" t="s">
        <v>7</v>
      </c>
      <c r="H53" s="10">
        <v>253</v>
      </c>
      <c r="I53" s="10">
        <v>0</v>
      </c>
      <c r="J53" s="10">
        <v>253</v>
      </c>
      <c r="K53" s="25" t="s">
        <v>33</v>
      </c>
      <c r="L53" s="13" t="s">
        <v>18</v>
      </c>
      <c r="M53" s="14" t="s">
        <v>47</v>
      </c>
      <c r="N53" s="5" t="s">
        <v>240</v>
      </c>
    </row>
    <row r="54" spans="1:16" x14ac:dyDescent="0.25">
      <c r="A54" s="21">
        <v>45398</v>
      </c>
      <c r="B54" s="8" t="s">
        <v>119</v>
      </c>
      <c r="C54" s="18" t="s">
        <v>209</v>
      </c>
      <c r="D54" s="6"/>
      <c r="E54" s="6"/>
      <c r="F54" s="33"/>
      <c r="G54" s="6" t="s">
        <v>7</v>
      </c>
      <c r="H54" s="10">
        <v>206.12</v>
      </c>
      <c r="I54" s="10">
        <v>0</v>
      </c>
      <c r="J54" s="10">
        <v>206.12</v>
      </c>
      <c r="K54" s="25" t="s">
        <v>33</v>
      </c>
      <c r="L54" s="13" t="s">
        <v>18</v>
      </c>
      <c r="M54" s="14" t="s">
        <v>47</v>
      </c>
      <c r="N54" s="5" t="s">
        <v>240</v>
      </c>
    </row>
    <row r="55" spans="1:16" x14ac:dyDescent="0.25">
      <c r="A55" s="21">
        <v>45600</v>
      </c>
      <c r="B55" s="27" t="s">
        <v>32</v>
      </c>
      <c r="C55" s="5" t="s">
        <v>112</v>
      </c>
      <c r="D55" s="23"/>
      <c r="E55" s="23"/>
      <c r="F55" s="33" t="s">
        <v>241</v>
      </c>
      <c r="G55" s="30" t="s">
        <v>137</v>
      </c>
      <c r="H55" s="10">
        <v>221.91</v>
      </c>
      <c r="I55" s="10"/>
      <c r="J55" s="10">
        <v>221.91</v>
      </c>
      <c r="K55" s="25" t="s">
        <v>117</v>
      </c>
      <c r="L55" s="13" t="s">
        <v>18</v>
      </c>
      <c r="M55" s="14" t="s">
        <v>138</v>
      </c>
      <c r="N55" s="26" t="s">
        <v>242</v>
      </c>
    </row>
    <row r="56" spans="1:16" x14ac:dyDescent="0.25">
      <c r="A56" s="21">
        <v>45630</v>
      </c>
      <c r="B56" s="27" t="s">
        <v>22</v>
      </c>
      <c r="C56" s="5" t="s">
        <v>112</v>
      </c>
      <c r="D56" s="23"/>
      <c r="E56" s="23"/>
      <c r="F56" s="33" t="s">
        <v>243</v>
      </c>
      <c r="G56" s="30" t="s">
        <v>137</v>
      </c>
      <c r="H56" s="10">
        <v>48.1</v>
      </c>
      <c r="I56" s="10"/>
      <c r="J56" s="10">
        <v>48.1</v>
      </c>
      <c r="K56" s="25" t="s">
        <v>117</v>
      </c>
      <c r="L56" s="13" t="s">
        <v>18</v>
      </c>
      <c r="M56" s="14" t="s">
        <v>138</v>
      </c>
      <c r="N56" s="26" t="s">
        <v>244</v>
      </c>
    </row>
    <row r="57" spans="1:16" s="6" customFormat="1" ht="13.5" customHeight="1" x14ac:dyDescent="0.2">
      <c r="A57" s="21">
        <v>45382</v>
      </c>
      <c r="B57" s="31" t="s">
        <v>111</v>
      </c>
      <c r="C57" s="18" t="s">
        <v>160</v>
      </c>
      <c r="D57" s="5"/>
      <c r="E57" s="5" t="s">
        <v>4</v>
      </c>
      <c r="F57" s="33" t="s">
        <v>245</v>
      </c>
      <c r="G57" s="5" t="s">
        <v>49</v>
      </c>
      <c r="H57" s="17">
        <v>15.6</v>
      </c>
      <c r="I57" s="17">
        <v>0</v>
      </c>
      <c r="J57" s="10">
        <v>15.6</v>
      </c>
      <c r="K57" s="18" t="s">
        <v>21</v>
      </c>
      <c r="L57" s="13" t="s">
        <v>18</v>
      </c>
      <c r="M57" s="5" t="s">
        <v>48</v>
      </c>
      <c r="N57" s="12" t="s">
        <v>246</v>
      </c>
      <c r="O57" s="5" t="s">
        <v>50</v>
      </c>
      <c r="P57" s="5"/>
    </row>
    <row r="58" spans="1:16" s="6" customFormat="1" ht="12.75" x14ac:dyDescent="0.2">
      <c r="A58" s="21">
        <v>45382</v>
      </c>
      <c r="B58" s="31" t="s">
        <v>142</v>
      </c>
      <c r="C58" s="18" t="s">
        <v>179</v>
      </c>
      <c r="D58" s="5" t="s">
        <v>35</v>
      </c>
      <c r="E58" s="5" t="s">
        <v>4</v>
      </c>
      <c r="F58" s="18">
        <v>40</v>
      </c>
      <c r="G58" s="6" t="s">
        <v>173</v>
      </c>
      <c r="H58" s="10">
        <v>3194</v>
      </c>
      <c r="I58" s="16">
        <v>0</v>
      </c>
      <c r="J58" s="10">
        <v>3194</v>
      </c>
      <c r="K58" s="25" t="s">
        <v>21</v>
      </c>
      <c r="L58" s="13" t="s">
        <v>18</v>
      </c>
      <c r="M58" s="14" t="s">
        <v>48</v>
      </c>
      <c r="N58" s="26" t="s">
        <v>247</v>
      </c>
      <c r="O58" s="26" t="s">
        <v>174</v>
      </c>
      <c r="P58" s="5"/>
    </row>
    <row r="59" spans="1:16" s="6" customFormat="1" ht="12.75" x14ac:dyDescent="0.2">
      <c r="A59" s="21">
        <v>45382</v>
      </c>
      <c r="B59" s="31" t="s">
        <v>142</v>
      </c>
      <c r="C59" s="18" t="s">
        <v>209</v>
      </c>
      <c r="D59" s="5"/>
      <c r="E59" s="5" t="s">
        <v>4</v>
      </c>
      <c r="F59" s="18">
        <v>58</v>
      </c>
      <c r="G59" s="5" t="s">
        <v>51</v>
      </c>
      <c r="H59" s="17">
        <v>1732</v>
      </c>
      <c r="I59" s="17">
        <v>0</v>
      </c>
      <c r="J59" s="10">
        <v>1732</v>
      </c>
      <c r="K59" s="18" t="s">
        <v>21</v>
      </c>
      <c r="L59" s="13" t="s">
        <v>18</v>
      </c>
      <c r="M59" s="5" t="s">
        <v>48</v>
      </c>
      <c r="N59" s="5" t="s">
        <v>247</v>
      </c>
      <c r="O59" s="5" t="s">
        <v>52</v>
      </c>
      <c r="P59" s="5"/>
    </row>
    <row r="60" spans="1:16" s="6" customFormat="1" ht="12.75" x14ac:dyDescent="0.2">
      <c r="A60" s="21">
        <v>45382</v>
      </c>
      <c r="B60" s="31" t="s">
        <v>142</v>
      </c>
      <c r="C60" s="18" t="s">
        <v>209</v>
      </c>
      <c r="D60" s="5" t="s">
        <v>35</v>
      </c>
      <c r="E60" s="5" t="s">
        <v>4</v>
      </c>
      <c r="F60" s="18">
        <v>38</v>
      </c>
      <c r="G60" s="36" t="s">
        <v>53</v>
      </c>
      <c r="H60" s="10">
        <v>1598.2</v>
      </c>
      <c r="I60" s="16">
        <v>0</v>
      </c>
      <c r="J60" s="10">
        <v>1598.2</v>
      </c>
      <c r="K60" s="25" t="s">
        <v>21</v>
      </c>
      <c r="L60" s="13" t="s">
        <v>18</v>
      </c>
      <c r="M60" s="14" t="s">
        <v>48</v>
      </c>
      <c r="N60" s="5" t="s">
        <v>247</v>
      </c>
      <c r="O60" s="37" t="s">
        <v>54</v>
      </c>
      <c r="P60" s="5"/>
    </row>
    <row r="61" spans="1:16" x14ac:dyDescent="0.25">
      <c r="A61" s="21">
        <v>45430</v>
      </c>
      <c r="B61" s="31" t="s">
        <v>93</v>
      </c>
      <c r="C61" s="18" t="s">
        <v>189</v>
      </c>
      <c r="D61" s="5"/>
      <c r="E61" s="5"/>
      <c r="F61" s="33" t="s">
        <v>248</v>
      </c>
      <c r="G61" s="6" t="s">
        <v>249</v>
      </c>
      <c r="H61" s="17">
        <v>516.91</v>
      </c>
      <c r="I61" s="10">
        <v>0</v>
      </c>
      <c r="J61" s="10">
        <v>516.91</v>
      </c>
      <c r="K61" s="18" t="s">
        <v>42</v>
      </c>
      <c r="L61" s="5" t="s">
        <v>18</v>
      </c>
      <c r="M61" s="14" t="s">
        <v>55</v>
      </c>
      <c r="N61" s="26" t="s">
        <v>250</v>
      </c>
    </row>
    <row r="62" spans="1:16" x14ac:dyDescent="0.25">
      <c r="A62" s="21">
        <v>45448</v>
      </c>
      <c r="B62" s="31" t="s">
        <v>94</v>
      </c>
      <c r="C62" s="46" t="s">
        <v>160</v>
      </c>
      <c r="D62" s="5"/>
      <c r="E62" s="5"/>
      <c r="F62" s="33" t="s">
        <v>251</v>
      </c>
      <c r="G62" s="12" t="s">
        <v>175</v>
      </c>
      <c r="H62" s="10">
        <v>545.97</v>
      </c>
      <c r="I62" s="10">
        <v>0</v>
      </c>
      <c r="J62" s="10">
        <v>545.97</v>
      </c>
      <c r="K62" s="25" t="s">
        <v>42</v>
      </c>
      <c r="L62" s="13" t="s">
        <v>18</v>
      </c>
      <c r="M62" s="14" t="s">
        <v>55</v>
      </c>
      <c r="N62" s="26" t="s">
        <v>176</v>
      </c>
    </row>
    <row r="63" spans="1:16" x14ac:dyDescent="0.25">
      <c r="A63" s="21">
        <v>45352</v>
      </c>
      <c r="B63" s="31" t="s">
        <v>119</v>
      </c>
      <c r="C63" s="23" t="s">
        <v>189</v>
      </c>
      <c r="D63" s="23" t="s">
        <v>35</v>
      </c>
      <c r="E63" s="5" t="s">
        <v>4</v>
      </c>
      <c r="F63" s="40" t="s">
        <v>252</v>
      </c>
      <c r="G63" s="30" t="s">
        <v>253</v>
      </c>
      <c r="H63" s="16">
        <v>3370.46</v>
      </c>
      <c r="I63" s="10">
        <v>0</v>
      </c>
      <c r="J63" s="10">
        <v>3370.46</v>
      </c>
      <c r="K63" s="25" t="s">
        <v>21</v>
      </c>
      <c r="L63" s="13" t="s">
        <v>18</v>
      </c>
      <c r="M63" s="14" t="s">
        <v>56</v>
      </c>
      <c r="N63" s="12" t="s">
        <v>254</v>
      </c>
      <c r="O63" s="30" t="s">
        <v>255</v>
      </c>
    </row>
    <row r="64" spans="1:16" x14ac:dyDescent="0.25">
      <c r="A64" s="21">
        <v>45356</v>
      </c>
      <c r="B64" s="31" t="s">
        <v>119</v>
      </c>
      <c r="C64" s="5" t="s">
        <v>147</v>
      </c>
      <c r="D64" s="5" t="s">
        <v>35</v>
      </c>
      <c r="E64" s="23" t="s">
        <v>4</v>
      </c>
      <c r="F64" s="18">
        <v>10</v>
      </c>
      <c r="G64" s="12" t="s">
        <v>156</v>
      </c>
      <c r="H64" s="10">
        <v>2746.33</v>
      </c>
      <c r="I64" s="10">
        <v>0</v>
      </c>
      <c r="J64" s="10">
        <v>2746.33</v>
      </c>
      <c r="K64" s="25" t="s">
        <v>21</v>
      </c>
      <c r="L64" s="13" t="s">
        <v>18</v>
      </c>
      <c r="M64" s="14" t="s">
        <v>56</v>
      </c>
      <c r="N64" s="5" t="s">
        <v>69</v>
      </c>
      <c r="O64" s="26" t="s">
        <v>157</v>
      </c>
    </row>
    <row r="65" spans="1:16" s="6" customFormat="1" ht="13.5" customHeight="1" x14ac:dyDescent="0.2">
      <c r="A65" s="21">
        <v>45346</v>
      </c>
      <c r="B65" s="27" t="s">
        <v>111</v>
      </c>
      <c r="C65" s="5" t="s">
        <v>112</v>
      </c>
      <c r="D65" s="23"/>
      <c r="E65" s="23"/>
      <c r="F65" s="33" t="s">
        <v>256</v>
      </c>
      <c r="G65" s="30" t="s">
        <v>257</v>
      </c>
      <c r="H65" s="10">
        <v>830</v>
      </c>
      <c r="I65" s="10">
        <v>0</v>
      </c>
      <c r="J65" s="10">
        <v>830</v>
      </c>
      <c r="K65" s="25" t="s">
        <v>117</v>
      </c>
      <c r="L65" s="13" t="s">
        <v>18</v>
      </c>
      <c r="M65" s="14" t="s">
        <v>86</v>
      </c>
      <c r="N65" s="5" t="s">
        <v>258</v>
      </c>
      <c r="O65" s="5"/>
      <c r="P65" s="5"/>
    </row>
    <row r="66" spans="1:16" s="6" customFormat="1" ht="13.5" customHeight="1" x14ac:dyDescent="0.2">
      <c r="A66" s="21">
        <v>45350</v>
      </c>
      <c r="B66" s="31" t="s">
        <v>142</v>
      </c>
      <c r="C66" s="5" t="s">
        <v>112</v>
      </c>
      <c r="D66" s="23" t="s">
        <v>35</v>
      </c>
      <c r="E66" s="5" t="s">
        <v>4</v>
      </c>
      <c r="F66" s="18">
        <v>313</v>
      </c>
      <c r="G66" s="30" t="s">
        <v>139</v>
      </c>
      <c r="H66" s="10">
        <v>800</v>
      </c>
      <c r="I66" s="10">
        <v>176</v>
      </c>
      <c r="J66" s="10">
        <v>976</v>
      </c>
      <c r="K66" s="25" t="s">
        <v>21</v>
      </c>
      <c r="L66" s="13" t="s">
        <v>18</v>
      </c>
      <c r="M66" s="14" t="s">
        <v>86</v>
      </c>
      <c r="N66" s="5" t="s">
        <v>140</v>
      </c>
      <c r="O66" s="6" t="s">
        <v>141</v>
      </c>
      <c r="P66" s="5"/>
    </row>
    <row r="67" spans="1:16" s="6" customFormat="1" ht="13.5" customHeight="1" x14ac:dyDescent="0.2">
      <c r="A67" s="21">
        <v>45350</v>
      </c>
      <c r="B67" s="31" t="s">
        <v>142</v>
      </c>
      <c r="C67" s="5" t="s">
        <v>112</v>
      </c>
      <c r="D67" s="5" t="s">
        <v>35</v>
      </c>
      <c r="E67" s="5" t="s">
        <v>4</v>
      </c>
      <c r="F67" s="18">
        <v>5</v>
      </c>
      <c r="G67" s="30" t="s">
        <v>259</v>
      </c>
      <c r="H67" s="10">
        <v>1435.5</v>
      </c>
      <c r="I67" s="10">
        <v>315.81</v>
      </c>
      <c r="J67" s="10">
        <v>1751.31</v>
      </c>
      <c r="K67" s="25" t="s">
        <v>21</v>
      </c>
      <c r="L67" s="13" t="s">
        <v>18</v>
      </c>
      <c r="M67" s="14" t="s">
        <v>86</v>
      </c>
      <c r="N67" s="5" t="s">
        <v>260</v>
      </c>
      <c r="O67" s="26" t="s">
        <v>261</v>
      </c>
      <c r="P67" s="5"/>
    </row>
    <row r="68" spans="1:16" s="6" customFormat="1" ht="13.5" customHeight="1" x14ac:dyDescent="0.2">
      <c r="A68" s="21">
        <v>45382</v>
      </c>
      <c r="B68" s="27" t="s">
        <v>142</v>
      </c>
      <c r="C68" s="46" t="s">
        <v>179</v>
      </c>
      <c r="D68" s="23" t="s">
        <v>35</v>
      </c>
      <c r="E68" s="5"/>
      <c r="F68" s="40" t="s">
        <v>269</v>
      </c>
      <c r="G68" s="30" t="s">
        <v>61</v>
      </c>
      <c r="H68" s="29">
        <v>135.16999999999999</v>
      </c>
      <c r="I68" s="16">
        <v>0</v>
      </c>
      <c r="J68" s="10">
        <f t="shared" ref="J68" si="4">H68+I68</f>
        <v>135.16999999999999</v>
      </c>
      <c r="K68" s="6" t="s">
        <v>17</v>
      </c>
      <c r="L68" s="13" t="s">
        <v>18</v>
      </c>
      <c r="M68" s="14" t="s">
        <v>57</v>
      </c>
      <c r="N68" s="30" t="s">
        <v>58</v>
      </c>
      <c r="O68" s="6" t="s">
        <v>62</v>
      </c>
      <c r="P68" s="5"/>
    </row>
    <row r="69" spans="1:16" s="6" customFormat="1" ht="12.75" x14ac:dyDescent="0.2">
      <c r="A69" s="21">
        <v>45371</v>
      </c>
      <c r="B69" s="31" t="s">
        <v>119</v>
      </c>
      <c r="C69" s="18" t="s">
        <v>182</v>
      </c>
      <c r="D69" s="5"/>
      <c r="E69" s="5"/>
      <c r="F69" s="33" t="s">
        <v>262</v>
      </c>
      <c r="G69" s="5" t="s">
        <v>177</v>
      </c>
      <c r="H69" s="17">
        <v>109.8</v>
      </c>
      <c r="I69" s="17">
        <v>0</v>
      </c>
      <c r="J69" s="10">
        <v>109.8</v>
      </c>
      <c r="K69" s="18" t="s">
        <v>263</v>
      </c>
      <c r="L69" s="5" t="s">
        <v>18</v>
      </c>
      <c r="M69" s="5" t="s">
        <v>57</v>
      </c>
      <c r="N69" s="5" t="s">
        <v>58</v>
      </c>
      <c r="O69" s="5"/>
      <c r="P69" s="5"/>
    </row>
    <row r="70" spans="1:16" s="6" customFormat="1" ht="12.75" x14ac:dyDescent="0.2">
      <c r="A70" s="21">
        <v>45382</v>
      </c>
      <c r="B70" s="31" t="s">
        <v>111</v>
      </c>
      <c r="C70" s="46" t="s">
        <v>146</v>
      </c>
      <c r="D70" s="5" t="s">
        <v>35</v>
      </c>
      <c r="E70" s="5" t="s">
        <v>4</v>
      </c>
      <c r="F70" s="33" t="s">
        <v>264</v>
      </c>
      <c r="G70" s="30" t="s">
        <v>158</v>
      </c>
      <c r="H70" s="10">
        <v>219.76</v>
      </c>
      <c r="I70" s="10">
        <v>0</v>
      </c>
      <c r="J70" s="10">
        <v>219.76</v>
      </c>
      <c r="K70" s="25" t="s">
        <v>21</v>
      </c>
      <c r="L70" s="13" t="s">
        <v>18</v>
      </c>
      <c r="M70" s="14" t="s">
        <v>57</v>
      </c>
      <c r="N70" s="5" t="s">
        <v>58</v>
      </c>
      <c r="O70" s="6" t="s">
        <v>159</v>
      </c>
      <c r="P70" s="5"/>
    </row>
    <row r="71" spans="1:16" s="6" customFormat="1" ht="13.5" customHeight="1" x14ac:dyDescent="0.2">
      <c r="A71" s="21">
        <v>45382</v>
      </c>
      <c r="B71" s="31" t="s">
        <v>119</v>
      </c>
      <c r="C71" s="5" t="s">
        <v>147</v>
      </c>
      <c r="D71" s="5" t="s">
        <v>35</v>
      </c>
      <c r="E71" s="5"/>
      <c r="F71" s="33">
        <v>68</v>
      </c>
      <c r="G71" s="12" t="s">
        <v>265</v>
      </c>
      <c r="H71" s="10">
        <v>180.6</v>
      </c>
      <c r="I71" s="10">
        <v>0</v>
      </c>
      <c r="J71" s="10">
        <v>180.6</v>
      </c>
      <c r="K71" s="25" t="s">
        <v>263</v>
      </c>
      <c r="L71" s="13" t="s">
        <v>18</v>
      </c>
      <c r="M71" s="14" t="s">
        <v>57</v>
      </c>
      <c r="N71" s="5" t="s">
        <v>108</v>
      </c>
      <c r="O71" s="26" t="s">
        <v>266</v>
      </c>
      <c r="P71" s="5"/>
    </row>
    <row r="72" spans="1:16" s="6" customFormat="1" ht="12.75" x14ac:dyDescent="0.2">
      <c r="A72" s="21">
        <v>45382</v>
      </c>
      <c r="B72" s="27" t="s">
        <v>142</v>
      </c>
      <c r="C72" s="46" t="s">
        <v>160</v>
      </c>
      <c r="D72" s="5" t="s">
        <v>35</v>
      </c>
      <c r="E72" s="5"/>
      <c r="F72" s="18">
        <v>5</v>
      </c>
      <c r="G72" s="30" t="s">
        <v>87</v>
      </c>
      <c r="H72" s="10">
        <v>105.9</v>
      </c>
      <c r="I72" s="10">
        <v>0</v>
      </c>
      <c r="J72" s="10">
        <v>105.9</v>
      </c>
      <c r="K72" s="25" t="s">
        <v>17</v>
      </c>
      <c r="L72" s="13" t="s">
        <v>18</v>
      </c>
      <c r="M72" s="14" t="s">
        <v>57</v>
      </c>
      <c r="N72" s="5" t="s">
        <v>58</v>
      </c>
      <c r="O72" s="5"/>
      <c r="P72" s="5"/>
    </row>
    <row r="73" spans="1:16" s="6" customFormat="1" ht="13.5" customHeight="1" x14ac:dyDescent="0.2">
      <c r="A73" s="21">
        <v>45382</v>
      </c>
      <c r="B73" s="31" t="s">
        <v>111</v>
      </c>
      <c r="C73" s="46" t="s">
        <v>160</v>
      </c>
      <c r="D73" s="5"/>
      <c r="E73" s="5" t="s">
        <v>4</v>
      </c>
      <c r="F73" s="33" t="s">
        <v>267</v>
      </c>
      <c r="G73" s="30" t="s">
        <v>59</v>
      </c>
      <c r="H73" s="10">
        <v>-1827.45</v>
      </c>
      <c r="I73" s="10">
        <v>0</v>
      </c>
      <c r="J73" s="10">
        <v>-1827.45</v>
      </c>
      <c r="K73" s="6" t="s">
        <v>21</v>
      </c>
      <c r="L73" s="13" t="s">
        <v>18</v>
      </c>
      <c r="M73" s="14" t="s">
        <v>57</v>
      </c>
      <c r="N73" s="5" t="s">
        <v>268</v>
      </c>
      <c r="O73" s="6" t="s">
        <v>60</v>
      </c>
      <c r="P73" s="5"/>
    </row>
    <row r="74" spans="1:16" x14ac:dyDescent="0.25">
      <c r="A74" s="21">
        <v>45382</v>
      </c>
      <c r="B74" s="31" t="s">
        <v>142</v>
      </c>
      <c r="C74" s="46" t="s">
        <v>160</v>
      </c>
      <c r="D74" s="5" t="s">
        <v>35</v>
      </c>
      <c r="E74" s="5" t="s">
        <v>4</v>
      </c>
      <c r="F74" s="44">
        <v>18</v>
      </c>
      <c r="G74" s="30" t="s">
        <v>270</v>
      </c>
      <c r="H74" s="10">
        <v>265.69</v>
      </c>
      <c r="I74" s="16">
        <v>0</v>
      </c>
      <c r="J74" s="10">
        <v>265.69</v>
      </c>
      <c r="K74" s="25" t="s">
        <v>21</v>
      </c>
      <c r="L74" s="13" t="s">
        <v>18</v>
      </c>
      <c r="M74" s="14" t="s">
        <v>63</v>
      </c>
      <c r="N74" s="5" t="s">
        <v>271</v>
      </c>
      <c r="O74" s="26" t="s">
        <v>272</v>
      </c>
    </row>
    <row r="75" spans="1:16" x14ac:dyDescent="0.25">
      <c r="A75" s="21">
        <v>45382</v>
      </c>
      <c r="B75" s="31" t="s">
        <v>142</v>
      </c>
      <c r="C75" s="18" t="s">
        <v>160</v>
      </c>
      <c r="D75" s="5"/>
      <c r="E75" s="5" t="s">
        <v>4</v>
      </c>
      <c r="F75" s="18">
        <v>20</v>
      </c>
      <c r="G75" s="30" t="s">
        <v>168</v>
      </c>
      <c r="H75" s="10">
        <v>1175.8499999999999</v>
      </c>
      <c r="I75" s="10"/>
      <c r="J75" s="10">
        <v>1175.8499999999999</v>
      </c>
      <c r="K75" s="25" t="s">
        <v>21</v>
      </c>
      <c r="L75" s="13" t="s">
        <v>18</v>
      </c>
      <c r="M75" s="14" t="s">
        <v>63</v>
      </c>
      <c r="N75" s="5" t="s">
        <v>271</v>
      </c>
      <c r="O75" s="26" t="s">
        <v>169</v>
      </c>
    </row>
    <row r="76" spans="1:16" s="6" customFormat="1" ht="12.75" x14ac:dyDescent="0.2">
      <c r="A76" s="21">
        <v>45382</v>
      </c>
      <c r="B76" s="50" t="s">
        <v>142</v>
      </c>
      <c r="C76" s="5" t="s">
        <v>200</v>
      </c>
      <c r="D76" s="23" t="s">
        <v>35</v>
      </c>
      <c r="E76" s="5" t="s">
        <v>4</v>
      </c>
      <c r="F76" s="9">
        <v>15</v>
      </c>
      <c r="G76" s="6" t="s">
        <v>273</v>
      </c>
      <c r="H76" s="45">
        <v>2102.16</v>
      </c>
      <c r="I76" s="16">
        <v>0</v>
      </c>
      <c r="J76" s="10">
        <v>2102.16</v>
      </c>
      <c r="K76" s="25" t="s">
        <v>21</v>
      </c>
      <c r="L76" s="13" t="s">
        <v>18</v>
      </c>
      <c r="M76" s="14" t="s">
        <v>63</v>
      </c>
      <c r="N76" s="5" t="s">
        <v>274</v>
      </c>
      <c r="O76" s="26" t="s">
        <v>275</v>
      </c>
      <c r="P76" s="5"/>
    </row>
    <row r="77" spans="1:16" s="6" customFormat="1" ht="13.5" customHeight="1" x14ac:dyDescent="0.2">
      <c r="A77" s="21">
        <v>45398</v>
      </c>
      <c r="B77" s="50" t="s">
        <v>142</v>
      </c>
      <c r="C77" s="18" t="s">
        <v>200</v>
      </c>
      <c r="D77" s="23" t="s">
        <v>35</v>
      </c>
      <c r="E77" s="23"/>
      <c r="F77" s="9">
        <v>15</v>
      </c>
      <c r="G77" s="6" t="s">
        <v>273</v>
      </c>
      <c r="H77" s="45">
        <v>525.04</v>
      </c>
      <c r="I77" s="16">
        <v>0</v>
      </c>
      <c r="J77" s="10">
        <v>525.04</v>
      </c>
      <c r="K77" s="25" t="s">
        <v>33</v>
      </c>
      <c r="L77" s="13" t="s">
        <v>18</v>
      </c>
      <c r="M77" s="14" t="s">
        <v>63</v>
      </c>
      <c r="N77" s="5" t="s">
        <v>276</v>
      </c>
      <c r="O77" s="26"/>
      <c r="P77" s="5"/>
    </row>
    <row r="78" spans="1:16" s="6" customFormat="1" ht="13.5" customHeight="1" x14ac:dyDescent="0.2">
      <c r="A78" s="7">
        <v>45473</v>
      </c>
      <c r="B78" s="8" t="s">
        <v>91</v>
      </c>
      <c r="C78" s="6" t="s">
        <v>15</v>
      </c>
      <c r="F78" s="9" t="s">
        <v>277</v>
      </c>
      <c r="G78" s="6" t="s">
        <v>64</v>
      </c>
      <c r="H78" s="17">
        <v>366</v>
      </c>
      <c r="I78" s="17">
        <v>0</v>
      </c>
      <c r="J78" s="10">
        <v>366</v>
      </c>
      <c r="K78" s="6" t="s">
        <v>42</v>
      </c>
      <c r="L78" s="6" t="s">
        <v>18</v>
      </c>
      <c r="M78" s="6" t="s">
        <v>65</v>
      </c>
      <c r="N78" s="41" t="s">
        <v>88</v>
      </c>
    </row>
    <row r="79" spans="1:16" s="6" customFormat="1" ht="13.5" customHeight="1" x14ac:dyDescent="0.2">
      <c r="A79" s="7">
        <v>45473</v>
      </c>
      <c r="B79" s="8" t="s">
        <v>94</v>
      </c>
      <c r="C79" s="6" t="s">
        <v>92</v>
      </c>
      <c r="F79" s="9" t="s">
        <v>109</v>
      </c>
      <c r="G79" s="6" t="s">
        <v>64</v>
      </c>
      <c r="H79" s="17">
        <v>351.36</v>
      </c>
      <c r="I79" s="17">
        <v>0</v>
      </c>
      <c r="J79" s="10">
        <v>351.36</v>
      </c>
      <c r="K79" s="6" t="s">
        <v>42</v>
      </c>
      <c r="L79" s="6" t="s">
        <v>18</v>
      </c>
      <c r="M79" s="6" t="s">
        <v>65</v>
      </c>
      <c r="N79" s="6" t="s">
        <v>110</v>
      </c>
    </row>
    <row r="80" spans="1:16" x14ac:dyDescent="0.25">
      <c r="A80" s="21">
        <v>45351</v>
      </c>
      <c r="B80" s="27" t="s">
        <v>111</v>
      </c>
      <c r="C80" s="5" t="s">
        <v>140</v>
      </c>
      <c r="D80" s="5" t="s">
        <v>35</v>
      </c>
      <c r="E80" s="5"/>
      <c r="F80" s="33" t="s">
        <v>278</v>
      </c>
      <c r="G80" s="30" t="s">
        <v>66</v>
      </c>
      <c r="H80" s="10">
        <v>2552.15</v>
      </c>
      <c r="I80" s="16">
        <v>0</v>
      </c>
      <c r="J80" s="10">
        <v>2552.15</v>
      </c>
      <c r="K80" s="34" t="s">
        <v>42</v>
      </c>
      <c r="L80" s="13" t="s">
        <v>18</v>
      </c>
      <c r="M80" s="14" t="s">
        <v>67</v>
      </c>
      <c r="N80" s="5" t="s">
        <v>68</v>
      </c>
    </row>
    <row r="81" spans="1:16" x14ac:dyDescent="0.25">
      <c r="A81" s="21">
        <v>45351</v>
      </c>
      <c r="B81" s="27" t="s">
        <v>111</v>
      </c>
      <c r="C81" s="5" t="s">
        <v>140</v>
      </c>
      <c r="D81" s="5" t="s">
        <v>35</v>
      </c>
      <c r="E81" s="5"/>
      <c r="F81" s="33" t="s">
        <v>279</v>
      </c>
      <c r="G81" s="30" t="s">
        <v>66</v>
      </c>
      <c r="H81" s="10">
        <v>1079.5</v>
      </c>
      <c r="I81" s="16">
        <v>0</v>
      </c>
      <c r="J81" s="10">
        <v>1079.5</v>
      </c>
      <c r="K81" s="34" t="s">
        <v>42</v>
      </c>
      <c r="L81" s="13" t="s">
        <v>18</v>
      </c>
      <c r="M81" s="14" t="s">
        <v>67</v>
      </c>
      <c r="N81" s="5" t="s">
        <v>90</v>
      </c>
    </row>
    <row r="82" spans="1:16" x14ac:dyDescent="0.25">
      <c r="A82" s="21">
        <v>45351</v>
      </c>
      <c r="B82" s="27" t="s">
        <v>111</v>
      </c>
      <c r="C82" s="23" t="s">
        <v>189</v>
      </c>
      <c r="D82" s="5" t="s">
        <v>35</v>
      </c>
      <c r="E82" s="5"/>
      <c r="F82" s="33" t="s">
        <v>280</v>
      </c>
      <c r="G82" s="30" t="s">
        <v>44</v>
      </c>
      <c r="H82" s="10">
        <v>2</v>
      </c>
      <c r="I82" s="10">
        <v>0</v>
      </c>
      <c r="J82" s="10">
        <v>2</v>
      </c>
      <c r="K82" s="34" t="s">
        <v>42</v>
      </c>
      <c r="L82" s="13" t="s">
        <v>18</v>
      </c>
      <c r="M82" s="14" t="s">
        <v>67</v>
      </c>
      <c r="N82" s="35" t="s">
        <v>69</v>
      </c>
    </row>
    <row r="83" spans="1:16" x14ac:dyDescent="0.25">
      <c r="A83" s="21">
        <v>45370</v>
      </c>
      <c r="B83" s="27" t="s">
        <v>111</v>
      </c>
      <c r="C83" s="47" t="s">
        <v>179</v>
      </c>
      <c r="D83" s="23" t="s">
        <v>35</v>
      </c>
      <c r="E83" s="23"/>
      <c r="F83" s="33" t="s">
        <v>281</v>
      </c>
      <c r="G83" s="30" t="s">
        <v>89</v>
      </c>
      <c r="H83" s="10">
        <v>5100.08</v>
      </c>
      <c r="I83" s="10">
        <v>0</v>
      </c>
      <c r="J83" s="10">
        <v>5100.08</v>
      </c>
      <c r="K83" s="34" t="s">
        <v>42</v>
      </c>
      <c r="L83" s="13" t="s">
        <v>18</v>
      </c>
      <c r="M83" s="14" t="s">
        <v>67</v>
      </c>
      <c r="N83" s="5" t="s">
        <v>90</v>
      </c>
    </row>
    <row r="84" spans="1:16" x14ac:dyDescent="0.25">
      <c r="A84" s="21">
        <v>45342</v>
      </c>
      <c r="B84" s="27" t="s">
        <v>111</v>
      </c>
      <c r="C84" s="5" t="s">
        <v>112</v>
      </c>
      <c r="D84" s="23" t="s">
        <v>96</v>
      </c>
      <c r="E84" s="23"/>
      <c r="F84" s="33" t="s">
        <v>282</v>
      </c>
      <c r="G84" s="30" t="s">
        <v>145</v>
      </c>
      <c r="H84" s="10">
        <v>6</v>
      </c>
      <c r="I84" s="10">
        <v>0.6</v>
      </c>
      <c r="J84" s="10">
        <v>6.6</v>
      </c>
      <c r="K84" s="25" t="s">
        <v>117</v>
      </c>
      <c r="L84" s="13" t="s">
        <v>18</v>
      </c>
      <c r="M84" s="14" t="s">
        <v>143</v>
      </c>
      <c r="N84" s="5" t="s">
        <v>144</v>
      </c>
    </row>
    <row r="85" spans="1:16" x14ac:dyDescent="0.25">
      <c r="A85" s="21">
        <v>45374</v>
      </c>
      <c r="B85" s="27" t="s">
        <v>119</v>
      </c>
      <c r="C85" s="5" t="s">
        <v>112</v>
      </c>
      <c r="D85" s="5" t="s">
        <v>35</v>
      </c>
      <c r="E85" s="5"/>
      <c r="F85" s="33" t="s">
        <v>283</v>
      </c>
      <c r="G85" s="12" t="s">
        <v>284</v>
      </c>
      <c r="H85" s="10">
        <v>586.82000000000005</v>
      </c>
      <c r="I85" s="10">
        <v>57.18</v>
      </c>
      <c r="J85" s="10">
        <v>644</v>
      </c>
      <c r="K85" s="25" t="s">
        <v>117</v>
      </c>
      <c r="L85" s="13" t="s">
        <v>18</v>
      </c>
      <c r="M85" s="14" t="s">
        <v>143</v>
      </c>
      <c r="N85" s="5" t="s">
        <v>285</v>
      </c>
    </row>
    <row r="86" spans="1:16" s="6" customFormat="1" ht="12.75" x14ac:dyDescent="0.2">
      <c r="A86" s="21">
        <v>45350</v>
      </c>
      <c r="B86" s="27" t="s">
        <v>142</v>
      </c>
      <c r="C86" s="47" t="s">
        <v>140</v>
      </c>
      <c r="D86" s="5" t="s">
        <v>35</v>
      </c>
      <c r="E86" s="5"/>
      <c r="F86" s="33">
        <v>76</v>
      </c>
      <c r="G86" s="30" t="s">
        <v>71</v>
      </c>
      <c r="H86" s="10">
        <v>1100</v>
      </c>
      <c r="I86" s="10">
        <v>0</v>
      </c>
      <c r="J86" s="10">
        <v>1100</v>
      </c>
      <c r="K86" s="6" t="s">
        <v>17</v>
      </c>
      <c r="L86" s="13" t="s">
        <v>18</v>
      </c>
      <c r="M86" s="14" t="s">
        <v>72</v>
      </c>
      <c r="N86" s="5" t="s">
        <v>286</v>
      </c>
      <c r="O86" s="5"/>
      <c r="P86" s="5"/>
    </row>
    <row r="87" spans="1:16" s="6" customFormat="1" ht="12.75" x14ac:dyDescent="0.2">
      <c r="A87" s="21">
        <v>45350</v>
      </c>
      <c r="B87" s="31" t="s">
        <v>142</v>
      </c>
      <c r="C87" s="47" t="s">
        <v>189</v>
      </c>
      <c r="D87" s="5" t="s">
        <v>35</v>
      </c>
      <c r="E87" s="5"/>
      <c r="F87" s="33">
        <v>211</v>
      </c>
      <c r="G87" s="30" t="s">
        <v>71</v>
      </c>
      <c r="H87" s="10">
        <v>-30</v>
      </c>
      <c r="I87" s="10">
        <v>0</v>
      </c>
      <c r="J87" s="10">
        <v>-30</v>
      </c>
      <c r="K87" s="6" t="s">
        <v>21</v>
      </c>
      <c r="L87" s="13" t="s">
        <v>18</v>
      </c>
      <c r="M87" s="14" t="s">
        <v>72</v>
      </c>
      <c r="N87" s="5" t="s">
        <v>286</v>
      </c>
      <c r="O87" s="5"/>
      <c r="P87" s="5"/>
    </row>
    <row r="88" spans="1:16" s="6" customFormat="1" ht="12.75" x14ac:dyDescent="0.2">
      <c r="A88" s="15">
        <v>45353</v>
      </c>
      <c r="B88" s="20" t="s">
        <v>111</v>
      </c>
      <c r="C88" s="18" t="s">
        <v>160</v>
      </c>
      <c r="D88" s="5"/>
      <c r="E88" s="5" t="s">
        <v>4</v>
      </c>
      <c r="F88" s="9">
        <v>2024004011</v>
      </c>
      <c r="G88" s="5" t="s">
        <v>152</v>
      </c>
      <c r="H88" s="17">
        <v>5677.8555999999999</v>
      </c>
      <c r="I88" s="17">
        <v>0</v>
      </c>
      <c r="J88" s="10">
        <v>5677.8555999999999</v>
      </c>
      <c r="K88" s="18" t="s">
        <v>21</v>
      </c>
      <c r="L88" s="13" t="s">
        <v>18</v>
      </c>
      <c r="M88" s="9" t="s">
        <v>70</v>
      </c>
      <c r="N88" s="9" t="s">
        <v>287</v>
      </c>
      <c r="O88" s="5" t="s">
        <v>26</v>
      </c>
      <c r="P88" s="5"/>
    </row>
    <row r="89" spans="1:16" s="6" customFormat="1" ht="13.5" customHeight="1" x14ac:dyDescent="0.2">
      <c r="A89" s="15">
        <v>45353</v>
      </c>
      <c r="B89" s="20" t="s">
        <v>111</v>
      </c>
      <c r="C89" s="18" t="s">
        <v>200</v>
      </c>
      <c r="D89" s="5"/>
      <c r="E89" s="5" t="s">
        <v>4</v>
      </c>
      <c r="F89" s="9">
        <v>2024006012</v>
      </c>
      <c r="G89" s="5" t="s">
        <v>152</v>
      </c>
      <c r="H89" s="17">
        <v>7561.7429999999995</v>
      </c>
      <c r="I89" s="17">
        <v>0</v>
      </c>
      <c r="J89" s="10">
        <v>7561.7429999999995</v>
      </c>
      <c r="K89" s="18" t="s">
        <v>21</v>
      </c>
      <c r="L89" s="13" t="s">
        <v>18</v>
      </c>
      <c r="M89" s="9" t="s">
        <v>70</v>
      </c>
      <c r="N89" s="9" t="s">
        <v>287</v>
      </c>
      <c r="O89" s="5" t="s">
        <v>26</v>
      </c>
      <c r="P89" s="5"/>
    </row>
    <row r="90" spans="1:16" s="6" customFormat="1" ht="13.5" customHeight="1" x14ac:dyDescent="0.2">
      <c r="A90" s="21">
        <v>45350</v>
      </c>
      <c r="B90" s="27" t="s">
        <v>111</v>
      </c>
      <c r="C90" s="5" t="s">
        <v>189</v>
      </c>
      <c r="D90" s="23" t="s">
        <v>35</v>
      </c>
      <c r="E90" s="23"/>
      <c r="F90" s="32">
        <v>7</v>
      </c>
      <c r="G90" s="6" t="s">
        <v>77</v>
      </c>
      <c r="H90" s="16">
        <v>183</v>
      </c>
      <c r="I90" s="16">
        <v>0</v>
      </c>
      <c r="J90" s="10">
        <v>183</v>
      </c>
      <c r="K90" s="6" t="s">
        <v>17</v>
      </c>
      <c r="L90" s="14" t="s">
        <v>18</v>
      </c>
      <c r="M90" s="14" t="s">
        <v>78</v>
      </c>
      <c r="N90" s="30" t="s">
        <v>79</v>
      </c>
      <c r="O90" s="5"/>
      <c r="P90" s="5"/>
    </row>
    <row r="91" spans="1:16" s="6" customFormat="1" ht="13.5" customHeight="1" x14ac:dyDescent="0.2">
      <c r="A91" s="21">
        <v>45351</v>
      </c>
      <c r="B91" s="27" t="s">
        <v>119</v>
      </c>
      <c r="C91" s="5" t="s">
        <v>209</v>
      </c>
      <c r="D91" s="23" t="s">
        <v>35</v>
      </c>
      <c r="E91" s="23"/>
      <c r="F91" s="32">
        <v>18</v>
      </c>
      <c r="G91" s="6" t="s">
        <v>77</v>
      </c>
      <c r="H91" s="16">
        <v>976</v>
      </c>
      <c r="I91" s="16">
        <v>0</v>
      </c>
      <c r="J91" s="10">
        <v>976</v>
      </c>
      <c r="K91" s="6" t="s">
        <v>17</v>
      </c>
      <c r="L91" s="14" t="s">
        <v>18</v>
      </c>
      <c r="M91" s="14" t="s">
        <v>78</v>
      </c>
      <c r="N91" s="30" t="s">
        <v>79</v>
      </c>
      <c r="O91" s="5"/>
      <c r="P91" s="5"/>
    </row>
    <row r="92" spans="1:16" s="6" customFormat="1" ht="14.25" customHeight="1" x14ac:dyDescent="0.2">
      <c r="A92" s="21">
        <v>45413</v>
      </c>
      <c r="B92" s="31" t="s">
        <v>93</v>
      </c>
      <c r="C92" s="18" t="s">
        <v>200</v>
      </c>
      <c r="D92" s="23"/>
      <c r="E92" s="5"/>
      <c r="F92" s="18">
        <v>9</v>
      </c>
      <c r="G92" s="30" t="s">
        <v>288</v>
      </c>
      <c r="H92" s="10">
        <v>6069</v>
      </c>
      <c r="I92" s="10">
        <v>1335.18</v>
      </c>
      <c r="J92" s="10">
        <v>7404.18</v>
      </c>
      <c r="K92" s="25" t="s">
        <v>21</v>
      </c>
      <c r="L92" s="13" t="s">
        <v>18</v>
      </c>
      <c r="M92" s="14" t="s">
        <v>76</v>
      </c>
      <c r="N92" s="12" t="s">
        <v>289</v>
      </c>
      <c r="O92" s="26" t="s">
        <v>290</v>
      </c>
      <c r="P92" s="5"/>
    </row>
    <row r="93" spans="1:16" s="6" customFormat="1" ht="13.5" customHeight="1" x14ac:dyDescent="0.2">
      <c r="A93" s="47">
        <v>45453</v>
      </c>
      <c r="B93" s="27" t="s">
        <v>94</v>
      </c>
      <c r="C93" s="5" t="s">
        <v>182</v>
      </c>
      <c r="D93" s="5"/>
      <c r="E93" s="6" t="s">
        <v>4</v>
      </c>
      <c r="F93" s="18"/>
      <c r="G93" s="5" t="s">
        <v>187</v>
      </c>
      <c r="H93" s="17">
        <v>6000</v>
      </c>
      <c r="I93" s="17">
        <v>0</v>
      </c>
      <c r="J93" s="10">
        <v>6000</v>
      </c>
      <c r="K93" s="18" t="s">
        <v>21</v>
      </c>
      <c r="L93" s="13" t="s">
        <v>18</v>
      </c>
      <c r="M93" s="5" t="s">
        <v>76</v>
      </c>
      <c r="N93" s="5" t="s">
        <v>291</v>
      </c>
      <c r="O93" s="5" t="s">
        <v>188</v>
      </c>
      <c r="P93" s="5"/>
    </row>
    <row r="94" spans="1:16" x14ac:dyDescent="0.25">
      <c r="A94" s="21">
        <v>45408</v>
      </c>
      <c r="B94" s="27" t="s">
        <v>93</v>
      </c>
      <c r="C94" s="23" t="s">
        <v>112</v>
      </c>
      <c r="D94" s="5" t="s">
        <v>35</v>
      </c>
      <c r="E94" s="5"/>
      <c r="F94" s="44" t="s">
        <v>292</v>
      </c>
      <c r="G94" s="30" t="s">
        <v>73</v>
      </c>
      <c r="H94" s="16">
        <v>264.12</v>
      </c>
      <c r="I94" s="10">
        <v>203.92</v>
      </c>
      <c r="J94" s="10">
        <v>468.03999999999996</v>
      </c>
      <c r="K94" s="25" t="s">
        <v>42</v>
      </c>
      <c r="L94" s="13" t="s">
        <v>18</v>
      </c>
      <c r="M94" s="14" t="s">
        <v>74</v>
      </c>
      <c r="N94" s="5" t="s">
        <v>75</v>
      </c>
    </row>
    <row r="95" spans="1:16" x14ac:dyDescent="0.25">
      <c r="A95" s="21">
        <v>45417</v>
      </c>
      <c r="B95" s="27" t="s">
        <v>93</v>
      </c>
      <c r="C95" s="46" t="s">
        <v>182</v>
      </c>
      <c r="D95" s="23" t="s">
        <v>35</v>
      </c>
      <c r="E95" s="23"/>
      <c r="F95" s="33" t="s">
        <v>293</v>
      </c>
      <c r="G95" s="30" t="s">
        <v>73</v>
      </c>
      <c r="H95" s="10">
        <v>165.92</v>
      </c>
      <c r="I95" s="29">
        <v>0</v>
      </c>
      <c r="J95" s="10">
        <v>165.92</v>
      </c>
      <c r="K95" s="34" t="s">
        <v>42</v>
      </c>
      <c r="L95" s="13" t="s">
        <v>18</v>
      </c>
      <c r="M95" s="14" t="s">
        <v>74</v>
      </c>
      <c r="N95" s="5" t="s">
        <v>135</v>
      </c>
    </row>
  </sheetData>
  <autoFilter ref="A1:O1" xr:uid="{4FD43689-4205-4B1F-A2C0-F6B0035B081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prova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Back Office Confident</dc:creator>
  <cp:lastModifiedBy>Back Office Confident</cp:lastModifiedBy>
  <dcterms:created xsi:type="dcterms:W3CDTF">2026-04-30T13:05:33Z</dcterms:created>
  <dcterms:modified xsi:type="dcterms:W3CDTF">2026-04-30T15:29:20Z</dcterms:modified>
</cp:coreProperties>
</file>