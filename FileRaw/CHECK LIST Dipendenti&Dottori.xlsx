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13_ncr:1_{59679C95-4D01-4A35-989E-FD2AA039F72F}" xr6:coauthVersionLast="47" xr6:coauthVersionMax="47" xr10:uidLastSave="{00000000-0000-0000-0000-000000000000}"/>
  <bookViews>
    <workbookView xWindow="-108" yWindow="-108" windowWidth="23256" windowHeight="12456" tabRatio="691" firstSheet="1" activeTab="5" xr2:uid="{00000000-000D-0000-FFFF-FFFF00000000}"/>
  </bookViews>
  <sheets>
    <sheet name="Checklist PERSONALE" sheetId="1" r:id="rId1"/>
    <sheet name="PROGRAM" sheetId="16" r:id="rId2"/>
    <sheet name="FORMAZIONE IN CORSO" sheetId="21" r:id="rId3"/>
    <sheet name="MATERNITA" sheetId="20" r:id="rId4"/>
    <sheet name="COSTS&amp;RULES" sheetId="17" r:id="rId5"/>
    <sheet name="Checklist DOTTORI" sheetId="3" r:id="rId6"/>
  </sheets>
  <definedNames>
    <definedName name="_xlnm._FilterDatabase" localSheetId="5" hidden="1">'Checklist DOTTORI'!$A$1:$AP$16</definedName>
    <definedName name="_xlnm._FilterDatabase" localSheetId="0" hidden="1">'Checklist PERSONALE'!$A$2:$BP$50</definedName>
    <definedName name="_xlnm._FilterDatabase" localSheetId="2" hidden="1">'FORMAZIONE IN CORSO'!$A$1:$L$1</definedName>
    <definedName name="_xlnm._FilterDatabase" localSheetId="1" hidden="1">PROGRAM!$A$2:$K$2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6" i="16" l="1"/>
  <c r="F286" i="16"/>
  <c r="F281" i="16"/>
  <c r="F280" i="16"/>
  <c r="F277" i="16"/>
  <c r="F164" i="16"/>
  <c r="F184" i="16"/>
  <c r="F183" i="16"/>
  <c r="F163" i="16"/>
  <c r="F218" i="16"/>
  <c r="F275" i="16"/>
  <c r="F282" i="16"/>
  <c r="F285" i="16"/>
  <c r="F168" i="16"/>
  <c r="F271" i="16"/>
  <c r="F287" i="16"/>
  <c r="F278" i="16"/>
  <c r="F283" i="16"/>
  <c r="F263" i="16"/>
  <c r="F284" i="16"/>
  <c r="F159" i="16"/>
  <c r="F246" i="16"/>
  <c r="F243" i="16"/>
  <c r="F279" i="16"/>
  <c r="F266" i="16"/>
  <c r="F146" i="16"/>
  <c r="F145" i="16"/>
  <c r="F141" i="16"/>
  <c r="F142" i="16"/>
  <c r="F143" i="16"/>
  <c r="F144" i="16"/>
  <c r="F140" i="16"/>
  <c r="F162" i="16"/>
  <c r="F244" i="16"/>
  <c r="F219" i="16"/>
  <c r="F200" i="16"/>
  <c r="BQ2" i="1"/>
  <c r="C6" i="17"/>
  <c r="D6" i="17" s="1"/>
  <c r="C12" i="17"/>
  <c r="D12" i="17" s="1"/>
  <c r="C9" i="17"/>
  <c r="D9" i="17" s="1"/>
  <c r="F255" i="16"/>
  <c r="F242" i="16"/>
  <c r="F187" i="16"/>
  <c r="F178" i="16"/>
  <c r="E71" i="16"/>
  <c r="F238" i="16"/>
  <c r="F182" i="16"/>
  <c r="F185" i="16"/>
  <c r="F221" i="16"/>
  <c r="F216" i="16"/>
  <c r="F254" i="16"/>
  <c r="F252" i="16"/>
  <c r="F262" i="16"/>
  <c r="F264" i="16"/>
  <c r="F265" i="16"/>
  <c r="F268" i="16"/>
  <c r="F267" i="16"/>
  <c r="F269" i="16"/>
  <c r="F270" i="16"/>
  <c r="F273" i="16"/>
  <c r="F272" i="16"/>
  <c r="F274" i="16"/>
  <c r="F109" i="16"/>
  <c r="F114" i="16"/>
  <c r="F229" i="16"/>
  <c r="F225" i="16"/>
  <c r="F224" i="16"/>
  <c r="F215" i="16"/>
  <c r="F214" i="16"/>
  <c r="E310" i="16"/>
  <c r="F310" i="16" s="1"/>
  <c r="F309" i="16"/>
  <c r="F217" i="16"/>
  <c r="F115" i="16"/>
  <c r="F160" i="16"/>
  <c r="F96" i="16" l="1"/>
  <c r="E261" i="16"/>
  <c r="F261" i="16" s="1"/>
  <c r="E260" i="16"/>
  <c r="F260" i="16" s="1"/>
  <c r="E259" i="16"/>
  <c r="F259" i="16" s="1"/>
  <c r="E258" i="16"/>
  <c r="F258" i="16" s="1"/>
  <c r="E257" i="16"/>
  <c r="F257" i="16" s="1"/>
  <c r="E256" i="16"/>
  <c r="F256" i="16" s="1"/>
  <c r="F253" i="16"/>
  <c r="F251" i="16"/>
  <c r="F250" i="16"/>
  <c r="F249" i="16"/>
  <c r="F248" i="16"/>
  <c r="F247" i="16"/>
  <c r="F245" i="16"/>
  <c r="F241" i="16"/>
  <c r="F240" i="16"/>
  <c r="F239" i="16"/>
  <c r="F230" i="16"/>
  <c r="F222" i="16"/>
  <c r="F212" i="16"/>
  <c r="F158" i="16"/>
  <c r="F101" i="16"/>
  <c r="F108" i="16"/>
  <c r="E288" i="16"/>
  <c r="F84" i="16"/>
  <c r="E86" i="16"/>
  <c r="F86" i="16" s="1"/>
  <c r="F79" i="16"/>
  <c r="E237" i="16"/>
  <c r="E235" i="16"/>
  <c r="F235" i="16" s="1"/>
  <c r="E232" i="16"/>
  <c r="F231" i="16"/>
  <c r="F223" i="16"/>
  <c r="F220" i="16"/>
  <c r="F213" i="16"/>
  <c r="F211" i="16"/>
  <c r="E207" i="16"/>
  <c r="F207" i="16" s="1"/>
  <c r="E206" i="16"/>
  <c r="F206" i="16" s="1"/>
  <c r="E205" i="16"/>
  <c r="F205" i="16" s="1"/>
  <c r="F203" i="16"/>
  <c r="F202" i="16"/>
  <c r="F199" i="16"/>
  <c r="F198" i="16"/>
  <c r="E172" i="16"/>
  <c r="E204" i="16"/>
  <c r="F204" i="16" s="1"/>
  <c r="E209" i="16"/>
  <c r="E208" i="16"/>
  <c r="F208" i="16" s="1"/>
  <c r="F201" i="16"/>
  <c r="F197" i="16"/>
  <c r="F196" i="16"/>
  <c r="E234" i="16"/>
  <c r="F234" i="16" s="1"/>
  <c r="F210" i="16"/>
  <c r="E77" i="16"/>
  <c r="F77" i="16" s="1"/>
  <c r="E76" i="16"/>
  <c r="F76" i="16" s="1"/>
  <c r="F72" i="16"/>
  <c r="F73" i="16"/>
  <c r="E65" i="16"/>
  <c r="F65" i="16" s="1"/>
  <c r="F53" i="16"/>
  <c r="E195" i="16"/>
  <c r="E174" i="16"/>
  <c r="F174" i="16" s="1"/>
  <c r="F165" i="16"/>
  <c r="E193" i="16"/>
  <c r="F193" i="16" s="1"/>
  <c r="E191" i="16"/>
  <c r="F191" i="16" s="1"/>
  <c r="F180" i="16"/>
  <c r="F181" i="16"/>
  <c r="F186" i="16"/>
  <c r="F188" i="16"/>
  <c r="F74" i="16"/>
  <c r="E93" i="16"/>
  <c r="E54" i="16"/>
  <c r="E69" i="16" s="1"/>
  <c r="E67" i="16"/>
  <c r="F67" i="16" s="1"/>
  <c r="E192" i="16"/>
  <c r="F192" i="16" s="1"/>
  <c r="F68" i="16"/>
  <c r="E55" i="16"/>
  <c r="F55" i="16" s="1"/>
  <c r="F56" i="16"/>
  <c r="F62" i="16"/>
  <c r="E66" i="16"/>
  <c r="F66" i="16" s="1"/>
  <c r="E64" i="16"/>
  <c r="F64" i="16" s="1"/>
  <c r="E63" i="16"/>
  <c r="F63" i="16" s="1"/>
  <c r="E61" i="16"/>
  <c r="F61" i="16" s="1"/>
  <c r="E60" i="16"/>
  <c r="F60" i="16" s="1"/>
  <c r="E59" i="16"/>
  <c r="F59" i="16" s="1"/>
  <c r="E58" i="16"/>
  <c r="F58" i="16" s="1"/>
  <c r="E57" i="16"/>
  <c r="E44" i="16"/>
  <c r="E43" i="16"/>
  <c r="E42" i="16"/>
  <c r="E41" i="16"/>
  <c r="E40" i="16"/>
  <c r="E39" i="16"/>
  <c r="E38" i="16"/>
  <c r="E37" i="16"/>
  <c r="E36" i="16"/>
  <c r="E35" i="16"/>
  <c r="E194" i="16"/>
  <c r="F194" i="16" s="1"/>
  <c r="F189" i="16"/>
  <c r="F179" i="16"/>
  <c r="E175" i="16"/>
  <c r="F175" i="16" s="1"/>
  <c r="E173" i="16"/>
  <c r="F173" i="16" s="1"/>
  <c r="E190" i="16"/>
  <c r="E166" i="16"/>
  <c r="E176" i="16" s="1"/>
  <c r="F288" i="16" l="1"/>
  <c r="E289" i="16"/>
  <c r="F289" i="16" s="1"/>
  <c r="E171" i="16"/>
  <c r="F172" i="16" s="1"/>
  <c r="F209" i="16"/>
  <c r="F69" i="16"/>
  <c r="E125" i="16"/>
  <c r="F125" i="16" s="1"/>
  <c r="E153" i="16"/>
  <c r="F153" i="16" s="1"/>
  <c r="E133" i="16"/>
  <c r="F133" i="16" s="1"/>
  <c r="E134" i="16"/>
  <c r="F134" i="16" s="1"/>
  <c r="E132" i="16"/>
  <c r="F132" i="16" s="1"/>
  <c r="F237" i="16"/>
  <c r="E155" i="16"/>
  <c r="F155" i="16" s="1"/>
  <c r="E135" i="16"/>
  <c r="E94" i="16"/>
  <c r="F94" i="16" s="1"/>
  <c r="E18" i="16"/>
  <c r="F18" i="16" s="1"/>
  <c r="E10" i="16"/>
  <c r="F130" i="16"/>
  <c r="F190" i="16"/>
  <c r="F43" i="16"/>
  <c r="F42" i="16"/>
  <c r="F41" i="16"/>
  <c r="F40" i="16"/>
  <c r="F39" i="16"/>
  <c r="F38" i="16"/>
  <c r="F37" i="16"/>
  <c r="F36" i="16"/>
  <c r="F167" i="16"/>
  <c r="F93" i="16"/>
  <c r="E236" i="16"/>
  <c r="F236" i="16" s="1"/>
  <c r="E233" i="16"/>
  <c r="F233" i="16" s="1"/>
  <c r="F232" i="16"/>
  <c r="E154" i="16"/>
  <c r="F154" i="16" s="1"/>
  <c r="E152" i="16"/>
  <c r="F152" i="16" s="1"/>
  <c r="E151" i="16"/>
  <c r="F151" i="16" s="1"/>
  <c r="E123" i="16"/>
  <c r="F123" i="16" s="1"/>
  <c r="E122" i="16"/>
  <c r="F122" i="16" s="1"/>
  <c r="E120" i="16"/>
  <c r="F120" i="16" s="1"/>
  <c r="E119" i="16"/>
  <c r="F119" i="16" s="1"/>
  <c r="E92" i="16"/>
  <c r="F92" i="16" s="1"/>
  <c r="E91" i="16"/>
  <c r="F91" i="16" s="1"/>
  <c r="E90" i="16"/>
  <c r="F90" i="16" s="1"/>
  <c r="F57" i="16"/>
  <c r="F35" i="16"/>
  <c r="E17" i="16"/>
  <c r="F17" i="16" s="1"/>
  <c r="E15" i="16"/>
  <c r="F15" i="16" s="1"/>
  <c r="E16" i="16"/>
  <c r="F16" i="16" s="1"/>
  <c r="E8" i="16"/>
  <c r="F8" i="16" s="1"/>
  <c r="E7" i="16"/>
  <c r="F7" i="16" s="1"/>
  <c r="E9" i="16"/>
  <c r="F9" i="16" s="1"/>
  <c r="C22" i="17"/>
  <c r="D22" i="17" s="1"/>
  <c r="F226" i="16"/>
  <c r="F228" i="16"/>
  <c r="F227" i="16"/>
  <c r="F177" i="16"/>
  <c r="F136" i="16"/>
  <c r="F137" i="16"/>
  <c r="F148" i="16"/>
  <c r="F149" i="16"/>
  <c r="F129" i="16"/>
  <c r="F128" i="16"/>
  <c r="F100" i="16"/>
  <c r="F102" i="16"/>
  <c r="F103" i="16"/>
  <c r="F104" i="16"/>
  <c r="F105" i="16"/>
  <c r="F106" i="16"/>
  <c r="F24" i="16"/>
  <c r="F25" i="16"/>
  <c r="F26" i="16"/>
  <c r="F27" i="16"/>
  <c r="F28" i="16"/>
  <c r="F29" i="16"/>
  <c r="F30" i="16"/>
  <c r="F23" i="16"/>
  <c r="F11" i="16"/>
  <c r="F12" i="16"/>
  <c r="F13" i="16"/>
  <c r="F14" i="16"/>
  <c r="F5" i="16"/>
  <c r="F150" i="16"/>
  <c r="F138" i="16"/>
  <c r="F157" i="16"/>
  <c r="F169" i="16"/>
  <c r="F170" i="16"/>
  <c r="F156" i="16"/>
  <c r="F107" i="16"/>
  <c r="F127" i="16"/>
  <c r="F131" i="16"/>
  <c r="F116" i="16"/>
  <c r="F117" i="16"/>
  <c r="F112" i="16"/>
  <c r="F89" i="16"/>
  <c r="E113" i="16"/>
  <c r="F113" i="16" s="1"/>
  <c r="F99" i="16"/>
  <c r="F83" i="16"/>
  <c r="F98" i="16"/>
  <c r="C21" i="17"/>
  <c r="D21" i="17" s="1"/>
  <c r="C18" i="17"/>
  <c r="D18" i="17" s="1"/>
  <c r="C16" i="17"/>
  <c r="D16" i="17" s="1"/>
  <c r="C14" i="17"/>
  <c r="D14" i="17" s="1"/>
  <c r="C11" i="17"/>
  <c r="D11" i="17" s="1"/>
  <c r="C10" i="17"/>
  <c r="D10" i="17" s="1"/>
  <c r="D5" i="17"/>
  <c r="D4" i="17"/>
  <c r="E110" i="16"/>
  <c r="F95" i="16"/>
  <c r="F88" i="16"/>
  <c r="F87" i="16"/>
  <c r="F85" i="16"/>
  <c r="F82" i="16"/>
  <c r="F80" i="16"/>
  <c r="F51" i="16"/>
  <c r="E78" i="16"/>
  <c r="F48" i="16"/>
  <c r="F70" i="16"/>
  <c r="F52" i="16"/>
  <c r="F50" i="16"/>
  <c r="F49" i="16"/>
  <c r="F34" i="16"/>
  <c r="F47" i="16"/>
  <c r="F46" i="16"/>
  <c r="F45" i="16"/>
  <c r="F31" i="16"/>
  <c r="F33" i="16"/>
  <c r="F32" i="16"/>
  <c r="F22" i="16"/>
  <c r="F21" i="16"/>
  <c r="F20" i="16"/>
  <c r="F19" i="16"/>
  <c r="F6" i="16"/>
  <c r="F4" i="16"/>
  <c r="F3" i="16"/>
  <c r="F110" i="16" l="1"/>
  <c r="E126" i="16"/>
  <c r="F126" i="16" s="1"/>
  <c r="E75" i="16"/>
  <c r="F75" i="16" s="1"/>
  <c r="F78" i="16"/>
  <c r="E124" i="16"/>
  <c r="F124" i="16" s="1"/>
  <c r="E121" i="16"/>
  <c r="F121" i="16" s="1"/>
  <c r="F195" i="16"/>
  <c r="F166" i="16"/>
  <c r="F10" i="16"/>
  <c r="F71" i="16"/>
  <c r="F54" i="16"/>
  <c r="F171" i="16" l="1"/>
  <c r="F176" i="16"/>
  <c r="F135" i="16"/>
  <c r="F44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Utente</author>
  </authors>
  <commentList>
    <comment ref="AX1" authorId="0" shapeId="0" xr:uid="{F168B69B-A771-416B-BC0F-7C5416EE30CA}">
      <text>
        <r>
          <rPr>
            <b/>
            <sz val="9"/>
            <color indexed="81"/>
            <rFont val="Tahoma"/>
            <family val="2"/>
          </rPr>
          <t>GLI RLS non sono soggetti all'aggiornamento 5 anni del corso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1" authorId="0" shapeId="0" xr:uid="{4B6D8076-5327-4050-A018-2CE7BF6F8E3A}">
      <text>
        <r>
          <rPr>
            <sz val="9"/>
            <color indexed="81"/>
            <rFont val="Tahoma"/>
            <family val="2"/>
          </rPr>
          <t xml:space="preserve">ATTIVATO da Simone in autonomia finito corso formazione specifica rischio basso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Utente</author>
  </authors>
  <commentList>
    <comment ref="D54" authorId="0" shapeId="0" xr:uid="{D7A32424-A224-49B7-B441-76DA37A277F8}">
      <text>
        <r>
          <rPr>
            <b/>
            <sz val="9"/>
            <color indexed="81"/>
            <rFont val="Tahoma"/>
            <family val="2"/>
          </rPr>
          <t>Utente:</t>
        </r>
        <r>
          <rPr>
            <sz val="9"/>
            <color indexed="81"/>
            <rFont val="Tahoma"/>
            <family val="2"/>
          </rPr>
          <t xml:space="preserve">
NO HANCCO - CAMACHO - JIN - ASQUI</t>
        </r>
      </text>
    </comment>
    <comment ref="D288" authorId="0" shapeId="0" xr:uid="{4C2E8F4C-FF24-41B7-8C30-805628EBB017}">
      <text>
        <r>
          <rPr>
            <b/>
            <sz val="9"/>
            <color indexed="81"/>
            <rFont val="Tahoma"/>
            <family val="2"/>
          </rPr>
          <t>Utente:</t>
        </r>
        <r>
          <rPr>
            <sz val="9"/>
            <color indexed="81"/>
            <rFont val="Tahoma"/>
            <family val="2"/>
          </rPr>
          <t xml:space="preserve">
NO HANCCO - CAMACHO - JIN - ASQUI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Utente</author>
  </authors>
  <commentList>
    <comment ref="A4" authorId="0" shapeId="0" xr:uid="{CE0551E1-54FD-46AE-B7B8-A03565D81A90}">
      <text>
        <r>
          <rPr>
            <b/>
            <sz val="9"/>
            <color indexed="81"/>
            <rFont val="Tahoma"/>
            <family val="2"/>
          </rPr>
          <t xml:space="preserve"> - visita 40,00 €
- esami 60,00 €
- spirometria 20,00 €
- valutazione arti inferiori 8,00 €</t>
        </r>
      </text>
    </comment>
    <comment ref="A5" authorId="0" shapeId="0" xr:uid="{B62B4ACD-E5BC-44E1-8BCF-3D8E7462F083}">
      <text>
        <r>
          <rPr>
            <b/>
            <sz val="9"/>
            <color indexed="81"/>
            <rFont val="Tahoma"/>
            <family val="2"/>
          </rPr>
          <t>- visita 40,00 €
- visiotest 20,00 €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<sst xmlns="http://schemas.openxmlformats.org/spreadsheetml/2006/main" count="3276" uniqueCount="554">
  <si>
    <t>SEDE</t>
  </si>
  <si>
    <t>DISTACCO</t>
  </si>
  <si>
    <t>Dipendente</t>
  </si>
  <si>
    <t>STATO</t>
  </si>
  <si>
    <t xml:space="preserve">Sesso </t>
  </si>
  <si>
    <t>Riconsegna divisa/materiale in studio</t>
  </si>
  <si>
    <t>Riconsegna divisa/materiale in sede</t>
  </si>
  <si>
    <t>Inizio maternità</t>
  </si>
  <si>
    <t>Scadenza documenti  maternità</t>
  </si>
  <si>
    <t>Data di nascita</t>
  </si>
  <si>
    <t>Comune di nascita</t>
  </si>
  <si>
    <t>Codice Fiscale</t>
  </si>
  <si>
    <t>Scadenza C.I.</t>
  </si>
  <si>
    <t>Scadenza C.F.</t>
  </si>
  <si>
    <t>Scadenza Permesso di Soggiorno</t>
  </si>
  <si>
    <t>Nazionalità</t>
  </si>
  <si>
    <t>Indirizzo Residenza</t>
  </si>
  <si>
    <t>Città Residenza</t>
  </si>
  <si>
    <t>CAP Residenza</t>
  </si>
  <si>
    <t>Email</t>
  </si>
  <si>
    <t>Telefono</t>
  </si>
  <si>
    <t>Data Inizio Primo Rapporto</t>
  </si>
  <si>
    <t>Ex Tirocinante</t>
  </si>
  <si>
    <t>Data Fine Rapporto Lavorativo</t>
  </si>
  <si>
    <t>Motivazione Fine Rapporto Lavorativo</t>
  </si>
  <si>
    <t>Evento Infortunio</t>
  </si>
  <si>
    <t>Data inizio</t>
  </si>
  <si>
    <t>Data scadenza contratto</t>
  </si>
  <si>
    <t>Data scadenza prova</t>
  </si>
  <si>
    <t>Avanzamento di carriera</t>
  </si>
  <si>
    <t>Monte ore</t>
  </si>
  <si>
    <t>Data aumento livello</t>
  </si>
  <si>
    <t>Tempo IND/DET</t>
  </si>
  <si>
    <t>Durata rapporto (Mesi)</t>
  </si>
  <si>
    <t>Data trasformazione</t>
  </si>
  <si>
    <t>CCNL</t>
  </si>
  <si>
    <t>Ticket</t>
  </si>
  <si>
    <t>Mese</t>
  </si>
  <si>
    <t>Anno</t>
  </si>
  <si>
    <t>IBAN</t>
  </si>
  <si>
    <t>Titolo di Studio</t>
  </si>
  <si>
    <t>Autocert.</t>
  </si>
  <si>
    <t>Ruolo</t>
  </si>
  <si>
    <t>VISITA MEDICA
 Aso 1 anno e Rec 5 anni</t>
  </si>
  <si>
    <t>Corso formazione generale (no scadenza)</t>
  </si>
  <si>
    <t>Corso formazione specifica rischio  basso (5 anni)</t>
  </si>
  <si>
    <t>Corso formazione specifica rischio alto seconda parte 
per ASO (5 anni)</t>
  </si>
  <si>
    <t>Corsi aggiornamento ASO (10 H) annuale Corso a Settembre/Ottobre</t>
  </si>
  <si>
    <t>Corso radioprotezione
    (5 anni)</t>
  </si>
  <si>
    <t>RLS
(scadenza annuale)</t>
  </si>
  <si>
    <t>Corso antincendio (5 anni)</t>
  </si>
  <si>
    <t>Altre eventuali formazioni</t>
  </si>
  <si>
    <t>NON CANCELLARE LA DATA</t>
  </si>
  <si>
    <t>CLINICA</t>
  </si>
  <si>
    <t>INIZIO</t>
  </si>
  <si>
    <t>FINE</t>
  </si>
  <si>
    <t>Eseguito</t>
  </si>
  <si>
    <t>Scadenza</t>
  </si>
  <si>
    <t>Scadenza
Form. Specifica</t>
  </si>
  <si>
    <t>Verbale
nomina</t>
  </si>
  <si>
    <t>Eesguito</t>
  </si>
  <si>
    <t>BOL</t>
  </si>
  <si>
    <t>N.A.</t>
  </si>
  <si>
    <t>F</t>
  </si>
  <si>
    <t>-</t>
  </si>
  <si>
    <t>Boliviana</t>
  </si>
  <si>
    <t>SI</t>
  </si>
  <si>
    <t>DET</t>
  </si>
  <si>
    <t>Studi professionali</t>
  </si>
  <si>
    <t>NO</t>
  </si>
  <si>
    <t>ASO</t>
  </si>
  <si>
    <t>X</t>
  </si>
  <si>
    <t>Peruviana</t>
  </si>
  <si>
    <t>Licenziamento</t>
  </si>
  <si>
    <t>Diploma perito aziendale corrispondente in lingue estere</t>
  </si>
  <si>
    <t>CMS</t>
  </si>
  <si>
    <t>ATT.</t>
  </si>
  <si>
    <t>Italiana</t>
  </si>
  <si>
    <t>REC</t>
  </si>
  <si>
    <r>
      <rPr>
        <sz val="7"/>
        <rFont val="Gill Sans Nova Light"/>
        <family val="2"/>
      </rPr>
      <t>PROGRAMMATO PER</t>
    </r>
    <r>
      <rPr>
        <sz val="9"/>
        <rFont val="Gill Sans Nova Light"/>
        <family val="2"/>
      </rPr>
      <t xml:space="preserve"> </t>
    </r>
    <r>
      <rPr>
        <b/>
        <sz val="9"/>
        <rFont val="Gill Sans Nova Light"/>
        <family val="2"/>
      </rPr>
      <t>MAGGIO</t>
    </r>
  </si>
  <si>
    <t xml:space="preserve">Italiana </t>
  </si>
  <si>
    <t>IND</t>
  </si>
  <si>
    <t>Rumena</t>
  </si>
  <si>
    <t>Cambio sede</t>
  </si>
  <si>
    <t>Diploma liceo linguistico</t>
  </si>
  <si>
    <t>Diploma di formazione professionale</t>
  </si>
  <si>
    <t>Diploma Odontotecnico</t>
  </si>
  <si>
    <t>Diploma Operatore dei servizi sociali</t>
  </si>
  <si>
    <t>DES</t>
  </si>
  <si>
    <t>M</t>
  </si>
  <si>
    <t>CM</t>
  </si>
  <si>
    <r>
      <rPr>
        <sz val="7"/>
        <rFont val="Gill Sans Nova Light"/>
        <family val="2"/>
      </rPr>
      <t>PROGRAMMATO PER</t>
    </r>
    <r>
      <rPr>
        <b/>
        <sz val="9"/>
        <rFont val="Gill Sans Nova Light"/>
        <family val="2"/>
      </rPr>
      <t xml:space="preserve"> GIUGNO</t>
    </r>
  </si>
  <si>
    <t>No se resta RLS</t>
  </si>
  <si>
    <r>
      <rPr>
        <sz val="7"/>
        <rFont val="Gill Sans Nova Light"/>
        <family val="2"/>
      </rPr>
      <t xml:space="preserve">PROGRAMMATO PER </t>
    </r>
    <r>
      <rPr>
        <b/>
        <sz val="9"/>
        <rFont val="Gill Sans Nova Light"/>
        <family val="2"/>
      </rPr>
      <t>GENNAIO</t>
    </r>
  </si>
  <si>
    <t>Diploma operatore del benessere esteta</t>
  </si>
  <si>
    <r>
      <rPr>
        <sz val="7"/>
        <rFont val="Gill Sans Nova Light"/>
        <family val="2"/>
      </rPr>
      <t>PROGRAMMATO PER</t>
    </r>
    <r>
      <rPr>
        <sz val="9"/>
        <rFont val="Gill Sans Nova Light"/>
        <family val="2"/>
      </rPr>
      <t xml:space="preserve"> </t>
    </r>
    <r>
      <rPr>
        <b/>
        <sz val="9"/>
        <rFont val="Gill Sans Nova Light"/>
        <family val="2"/>
      </rPr>
      <t>SETTEMBRE</t>
    </r>
  </si>
  <si>
    <t>REC - CM</t>
  </si>
  <si>
    <r>
      <rPr>
        <sz val="7"/>
        <rFont val="Gill Sans Nova Light"/>
        <family val="2"/>
      </rPr>
      <t xml:space="preserve">PROGRAMMATO PER </t>
    </r>
    <r>
      <rPr>
        <b/>
        <sz val="9"/>
        <rFont val="Gill Sans Nova Light"/>
        <family val="2"/>
      </rPr>
      <t>NOVEMBRE</t>
    </r>
  </si>
  <si>
    <r>
      <rPr>
        <sz val="7"/>
        <rFont val="Gill Sans Nova Light"/>
        <family val="2"/>
      </rPr>
      <t xml:space="preserve">PROGRAMMATO PER </t>
    </r>
    <r>
      <rPr>
        <b/>
        <sz val="9"/>
        <rFont val="Gill Sans Nova Light"/>
        <family val="2"/>
      </rPr>
      <t>APRILE</t>
    </r>
  </si>
  <si>
    <t>COR</t>
  </si>
  <si>
    <t>BRU</t>
  </si>
  <si>
    <t>Diploma professionale</t>
  </si>
  <si>
    <t>Diploma</t>
  </si>
  <si>
    <r>
      <rPr>
        <b/>
        <sz val="9"/>
        <rFont val="Gill Sans Nova Light"/>
        <family val="2"/>
      </rPr>
      <t>verrà ATTIVATO</t>
    </r>
    <r>
      <rPr>
        <sz val="9"/>
        <rFont val="Gill Sans Nova Light"/>
        <family val="2"/>
      </rPr>
      <t xml:space="preserve"> dopo  form. Richio basso</t>
    </r>
  </si>
  <si>
    <t>Diploma di qualifica segretaria d'azienda</t>
  </si>
  <si>
    <t xml:space="preserve">Laurea magistrale turismo </t>
  </si>
  <si>
    <t>BUS</t>
  </si>
  <si>
    <t>SEGR</t>
  </si>
  <si>
    <t>Diploma di maturità in grafica pubblicitaria</t>
  </si>
  <si>
    <t>TUTOR</t>
  </si>
  <si>
    <t>CNA</t>
  </si>
  <si>
    <t>Ucraina</t>
  </si>
  <si>
    <t xml:space="preserve">Diploma </t>
  </si>
  <si>
    <r>
      <rPr>
        <sz val="7"/>
        <rFont val="Gill Sans Nova Light"/>
        <family val="2"/>
      </rPr>
      <t>PROGRAMMATO PER</t>
    </r>
    <r>
      <rPr>
        <sz val="9"/>
        <rFont val="Gill Sans Nova Light"/>
        <family val="2"/>
      </rPr>
      <t xml:space="preserve"> </t>
    </r>
    <r>
      <rPr>
        <b/>
        <sz val="9"/>
        <rFont val="Gill Sans Nova Light"/>
        <family val="2"/>
      </rPr>
      <t>APRILE</t>
    </r>
  </si>
  <si>
    <t>diploma</t>
  </si>
  <si>
    <r>
      <t xml:space="preserve">PROGRAMMATO PER </t>
    </r>
    <r>
      <rPr>
        <b/>
        <sz val="9"/>
        <rFont val="Gill Sans Nova Light"/>
        <family val="2"/>
      </rPr>
      <t>LUGLIO</t>
    </r>
  </si>
  <si>
    <t>Laurea economia e commercio</t>
  </si>
  <si>
    <t>COM</t>
  </si>
  <si>
    <t>Diploma Istituto Tecnico per il Turismo</t>
  </si>
  <si>
    <t>Operatrice Commerciale settore turistico</t>
  </si>
  <si>
    <t>Ecuadoregna</t>
  </si>
  <si>
    <t/>
  </si>
  <si>
    <t>Diploma analista contabile</t>
  </si>
  <si>
    <t>27/11/20231</t>
  </si>
  <si>
    <t>SENZA TS</t>
  </si>
  <si>
    <t>Diploma di Odontotecnico</t>
  </si>
  <si>
    <r>
      <rPr>
        <sz val="7"/>
        <rFont val="Gill Sans Nova Light"/>
        <family val="2"/>
      </rPr>
      <t xml:space="preserve">PROGRAMMATO PER </t>
    </r>
    <r>
      <rPr>
        <b/>
        <sz val="9"/>
        <rFont val="Gill Sans Nova Light"/>
        <family val="2"/>
      </rPr>
      <t>MAGGIO</t>
    </r>
  </si>
  <si>
    <t>GIU</t>
  </si>
  <si>
    <t>Illimitato</t>
  </si>
  <si>
    <t>MI3</t>
  </si>
  <si>
    <t>Laurea triennale</t>
  </si>
  <si>
    <t>Diploma Technico dei Servizi Sociali e assistenza</t>
  </si>
  <si>
    <t>Diploma professionale estetista</t>
  </si>
  <si>
    <t xml:space="preserve">Diploma scienze umane economico </t>
  </si>
  <si>
    <t>Diploma perito aziendale</t>
  </si>
  <si>
    <t>ASO - SUPER ASO</t>
  </si>
  <si>
    <t>Diploma di odontotecnico</t>
  </si>
  <si>
    <t>MI6</t>
  </si>
  <si>
    <t>MI7</t>
  </si>
  <si>
    <t>Diploma scuola professionale</t>
  </si>
  <si>
    <t>MI9</t>
  </si>
  <si>
    <r>
      <rPr>
        <sz val="7"/>
        <rFont val="Gill Sans Nova Light"/>
        <family val="2"/>
      </rPr>
      <t>PROGRAMMATO PER</t>
    </r>
    <r>
      <rPr>
        <sz val="9"/>
        <rFont val="Gill Sans Nova Light"/>
        <family val="2"/>
      </rPr>
      <t xml:space="preserve"> </t>
    </r>
    <r>
      <rPr>
        <b/>
        <sz val="9"/>
        <rFont val="Gill Sans Nova Light"/>
        <family val="2"/>
      </rPr>
      <t>LUGLIO</t>
    </r>
  </si>
  <si>
    <t>Mi7</t>
  </si>
  <si>
    <t>Laurea accademica 2° livello</t>
  </si>
  <si>
    <t>Diploma di istruzione secondaria superiore</t>
  </si>
  <si>
    <t>Laurea Sociologia</t>
  </si>
  <si>
    <t>VAR</t>
  </si>
  <si>
    <t>Commercio</t>
  </si>
  <si>
    <t>REC - CM -SUPERVISOR</t>
  </si>
  <si>
    <t>Diploma Lettere Classiche</t>
  </si>
  <si>
    <t>SUP.VIS.</t>
  </si>
  <si>
    <t>Laurea triennale / Master 1° livello</t>
  </si>
  <si>
    <t>HR</t>
  </si>
  <si>
    <t>COO</t>
  </si>
  <si>
    <t>ADMIN</t>
  </si>
  <si>
    <t>SGM</t>
  </si>
  <si>
    <t>Diploma tecnico delle attività alberghiere</t>
  </si>
  <si>
    <t>Tecnico dei servizi socio sanitari</t>
  </si>
  <si>
    <t xml:space="preserve"> 22/05/2031</t>
  </si>
  <si>
    <t>11/07/2032</t>
  </si>
  <si>
    <r>
      <rPr>
        <sz val="7"/>
        <rFont val="Gill Sans Nova Light"/>
        <family val="2"/>
      </rPr>
      <t>PROGRAMMATO PER</t>
    </r>
    <r>
      <rPr>
        <sz val="9"/>
        <rFont val="Gill Sans Nova Light"/>
        <family val="2"/>
      </rPr>
      <t xml:space="preserve"> </t>
    </r>
    <r>
      <rPr>
        <b/>
        <sz val="10"/>
        <rFont val="Gill Sans Nova Light"/>
        <family val="2"/>
      </rPr>
      <t>LUGLIO</t>
    </r>
  </si>
  <si>
    <t>MESE</t>
  </si>
  <si>
    <t>DA FISSARE</t>
  </si>
  <si>
    <t>DIPENDENTE</t>
  </si>
  <si>
    <t>SENZA IVA</t>
  </si>
  <si>
    <t>CON IVA</t>
  </si>
  <si>
    <t>OK PAOLO</t>
  </si>
  <si>
    <t>RICHIESTO</t>
  </si>
  <si>
    <t>FATTO</t>
  </si>
  <si>
    <t>VISITA MEDICA</t>
  </si>
  <si>
    <t>SCERRI REC</t>
  </si>
  <si>
    <t>CORSO SICUREZZA</t>
  </si>
  <si>
    <t>RADIOPRIOTEZIONE</t>
  </si>
  <si>
    <t xml:space="preserve">BELLO ASO </t>
  </si>
  <si>
    <t>EZ ZAOUIA ASO</t>
  </si>
  <si>
    <t>TOTALE DES</t>
  </si>
  <si>
    <t>TOTALE MI9</t>
  </si>
  <si>
    <t>TOTALE MI6</t>
  </si>
  <si>
    <t>TOTALE</t>
  </si>
  <si>
    <t>COMMISSO ASO</t>
  </si>
  <si>
    <t>in maternità</t>
  </si>
  <si>
    <t>BELLO ASO</t>
  </si>
  <si>
    <t>KORZHOS ASO</t>
  </si>
  <si>
    <t>TOTALE COM</t>
  </si>
  <si>
    <t>TOTALE SGM</t>
  </si>
  <si>
    <t>CARIOTI ASO</t>
  </si>
  <si>
    <t>FORMICA REC</t>
  </si>
  <si>
    <t>BERTOLOTTI CM</t>
  </si>
  <si>
    <t xml:space="preserve">VANGELISTA CM </t>
  </si>
  <si>
    <t>CATALANOTTO ASO</t>
  </si>
  <si>
    <t xml:space="preserve">QUARANTA ASO </t>
  </si>
  <si>
    <t xml:space="preserve">MAGALLANES ASO </t>
  </si>
  <si>
    <t xml:space="preserve">RAINERI ASO </t>
  </si>
  <si>
    <t>MORANDA ASO</t>
  </si>
  <si>
    <t xml:space="preserve">RODRIGUEZ ASO </t>
  </si>
  <si>
    <t xml:space="preserve">BIRGOVANU ASO </t>
  </si>
  <si>
    <t xml:space="preserve">LUMAJ ASO </t>
  </si>
  <si>
    <t>CCH</t>
  </si>
  <si>
    <t xml:space="preserve">CASTIGLIONI </t>
  </si>
  <si>
    <t>in malattia</t>
  </si>
  <si>
    <t xml:space="preserve">FORMICA REC </t>
  </si>
  <si>
    <t>TOTALE CCH</t>
  </si>
  <si>
    <t>TOTALE VAR</t>
  </si>
  <si>
    <t>TOTALE COR</t>
  </si>
  <si>
    <t>TOTALE MI7</t>
  </si>
  <si>
    <t>TOTALE BUS</t>
  </si>
  <si>
    <t>TOTALE MI3</t>
  </si>
  <si>
    <t xml:space="preserve">CRUSNEVSCHI ASO </t>
  </si>
  <si>
    <t xml:space="preserve">ARMAS REC </t>
  </si>
  <si>
    <t xml:space="preserve">GIANNINI REC </t>
  </si>
  <si>
    <t xml:space="preserve">VENDRAMINI CM </t>
  </si>
  <si>
    <t>AGGIORNAMENTO ASO</t>
  </si>
  <si>
    <t xml:space="preserve">TUTTE LE ASO </t>
  </si>
  <si>
    <t>TOTALE GIU</t>
  </si>
  <si>
    <t>TOTALE BOL</t>
  </si>
  <si>
    <t>TOTALE BRU</t>
  </si>
  <si>
    <t>TOTALE CNA</t>
  </si>
  <si>
    <t xml:space="preserve">LIKCANI MEGI ASO </t>
  </si>
  <si>
    <t>asp. fino dicembre</t>
  </si>
  <si>
    <t>LIKCANI MEGI ASO</t>
  </si>
  <si>
    <t>RLS</t>
  </si>
  <si>
    <t>PICCI CM</t>
  </si>
  <si>
    <t>OK</t>
  </si>
  <si>
    <t>16/12/2025 ore 17,00</t>
  </si>
  <si>
    <t>18/12/2025 ore 16,30</t>
  </si>
  <si>
    <t>20/01/2025 ore 8,40</t>
  </si>
  <si>
    <t>03/02/2026 ore 12,00</t>
  </si>
  <si>
    <t>04/02/2026 ore 9,30</t>
  </si>
  <si>
    <t>11/02/2026 ore 9,45</t>
  </si>
  <si>
    <t>11/02/2026 ore 10,45</t>
  </si>
  <si>
    <t>04/02/2026 ore 11,30</t>
  </si>
  <si>
    <t>04/02/2026 ore 12,30</t>
  </si>
  <si>
    <t>11/02/2026 ore 9,00</t>
  </si>
  <si>
    <t>13/02/2026 ore 10,20</t>
  </si>
  <si>
    <t>26/02/2026 ore 16:40</t>
  </si>
  <si>
    <t>20/02/2026 ore 8,40</t>
  </si>
  <si>
    <t>20/02/2026 ore 8,30</t>
  </si>
  <si>
    <t>03/03/2026 ore 16,00</t>
  </si>
  <si>
    <t>10/03/2026 ore 8.50</t>
  </si>
  <si>
    <t>18/03/2026 ore 15.00</t>
  </si>
  <si>
    <t>Se va via, da non fare</t>
  </si>
  <si>
    <t>18/5 fine periodo prova</t>
  </si>
  <si>
    <t>Nome</t>
  </si>
  <si>
    <t>Cognome</t>
  </si>
  <si>
    <t>Corsi</t>
  </si>
  <si>
    <t>Aziende</t>
  </si>
  <si>
    <t>Progressi</t>
  </si>
  <si>
    <t>Completati</t>
  </si>
  <si>
    <t>Creazione</t>
  </si>
  <si>
    <t>Completato il</t>
  </si>
  <si>
    <t>Partita IVA impresa</t>
  </si>
  <si>
    <t>Profilo professionale</t>
  </si>
  <si>
    <t>ID Attestato</t>
  </si>
  <si>
    <t>Formazione generale dei lavoratori + formazione specifica per lavoratori impiegati in attività di ufficio</t>
  </si>
  <si>
    <t>IDENT MILANO6 SRL</t>
  </si>
  <si>
    <t>Formazione specifica per lavoratori del settore terziario</t>
  </si>
  <si>
    <t>IDENT BUSTO ARSIZIO SRL</t>
  </si>
  <si>
    <t>Formazione iniziale per Rappresentante dei Lavoratori per la Sicurezza (RLS) di 32 ore</t>
  </si>
  <si>
    <t>IDENT BOLLATE SRL</t>
  </si>
  <si>
    <t>Clinic Manager</t>
  </si>
  <si>
    <t>IDENT COMASINA SRL</t>
  </si>
  <si>
    <t>Formazione Generale per Lavoratori - A cura di Lorenzo Fantini</t>
  </si>
  <si>
    <t>IDENT MILANO7 SRL</t>
  </si>
  <si>
    <t>IDENT BRUGHERIO SRL</t>
  </si>
  <si>
    <t>IDENT SGM SRL</t>
  </si>
  <si>
    <t>IDENT GIUSSANO SRL</t>
  </si>
  <si>
    <t>Clinic manager</t>
  </si>
  <si>
    <t>CLINIC MANAGER</t>
  </si>
  <si>
    <t>IDENT COMO SRL</t>
  </si>
  <si>
    <t>IDENT MILANO3 SRL</t>
  </si>
  <si>
    <t>IDENT CORMANO SRL</t>
  </si>
  <si>
    <t>20251007-446933</t>
  </si>
  <si>
    <t>Formazione generale dei lavoratori + formazione specifica per lavoratori del settore terziario</t>
  </si>
  <si>
    <t>20251209-468012</t>
  </si>
  <si>
    <t>IDENT VARESE SRL</t>
  </si>
  <si>
    <t>20251209-468008</t>
  </si>
  <si>
    <t>20251209-468010</t>
  </si>
  <si>
    <t>20250915-439127</t>
  </si>
  <si>
    <t>Sì</t>
  </si>
  <si>
    <t>20250305-388788</t>
  </si>
  <si>
    <t>20250403-397546</t>
  </si>
  <si>
    <t>IDENT SRL</t>
  </si>
  <si>
    <t>20250702-422417</t>
  </si>
  <si>
    <t>20250604-413292</t>
  </si>
  <si>
    <t>20250306-389373</t>
  </si>
  <si>
    <t>A9-Aggiornamento formazione per lavoratori. L'uso del videoterminale, il rischio elettrico ed il rischio posturale.</t>
  </si>
  <si>
    <t>IDENT MILANO9 SRL</t>
  </si>
  <si>
    <t>20250410-399702</t>
  </si>
  <si>
    <t>20250413-400108</t>
  </si>
  <si>
    <t>20250413-400107</t>
  </si>
  <si>
    <t>20250403-397563</t>
  </si>
  <si>
    <t>20250403-397558</t>
  </si>
  <si>
    <t>20250403-397556</t>
  </si>
  <si>
    <t>20250403-397553</t>
  </si>
  <si>
    <t>20250306-389371</t>
  </si>
  <si>
    <t>20250306-389372</t>
  </si>
  <si>
    <t>20250305-388793</t>
  </si>
  <si>
    <t>20250305-388791</t>
  </si>
  <si>
    <t>20250305-388789</t>
  </si>
  <si>
    <t>20250305-388786</t>
  </si>
  <si>
    <t>20250305-388785</t>
  </si>
  <si>
    <t>20250305-388784</t>
  </si>
  <si>
    <t>20250305-388783</t>
  </si>
  <si>
    <t>CONFIDENT COMMERCIALE HOLDING S.P.A SOCIETA' BENEFIT</t>
  </si>
  <si>
    <t>SEGRETARIA</t>
  </si>
  <si>
    <t>20250305-388775</t>
  </si>
  <si>
    <t>20250305-388774</t>
  </si>
  <si>
    <t>20241003-348266</t>
  </si>
  <si>
    <t>20241003-348248</t>
  </si>
  <si>
    <t>20241003-348245</t>
  </si>
  <si>
    <t>20241003-348243</t>
  </si>
  <si>
    <t>20241003-348241</t>
  </si>
  <si>
    <t>20241003-348238</t>
  </si>
  <si>
    <t>20241003-348237</t>
  </si>
  <si>
    <t>20241003-348229</t>
  </si>
  <si>
    <t>20241003-348228</t>
  </si>
  <si>
    <t>20241003-348224</t>
  </si>
  <si>
    <t>20241003-348222</t>
  </si>
  <si>
    <t>20241003-348221</t>
  </si>
  <si>
    <t>20241003-348219</t>
  </si>
  <si>
    <t>20241003-347998</t>
  </si>
  <si>
    <t>20241003-347999</t>
  </si>
  <si>
    <t>20241003-348000</t>
  </si>
  <si>
    <t>20241003-348001</t>
  </si>
  <si>
    <t>20241003-348002</t>
  </si>
  <si>
    <t>20241003-348003</t>
  </si>
  <si>
    <t>20241003-348004</t>
  </si>
  <si>
    <t>20241003-348005</t>
  </si>
  <si>
    <t>20240221-285200</t>
  </si>
  <si>
    <t>20240221-285201</t>
  </si>
  <si>
    <t>20240221-285205</t>
  </si>
  <si>
    <t>20240221-285198</t>
  </si>
  <si>
    <t>20240221-285196</t>
  </si>
  <si>
    <t>20240221-285197</t>
  </si>
  <si>
    <t>20230605-222435</t>
  </si>
  <si>
    <t>20230322-206353</t>
  </si>
  <si>
    <t>20221122-182377</t>
  </si>
  <si>
    <t>20221121-182353</t>
  </si>
  <si>
    <t>Consulente</t>
  </si>
  <si>
    <t>20221024-176929</t>
  </si>
  <si>
    <t>Società</t>
  </si>
  <si>
    <t>Stato</t>
  </si>
  <si>
    <t>Fine periodo congedo</t>
  </si>
  <si>
    <t>PREZZO SENZA IVA</t>
  </si>
  <si>
    <t>IVA</t>
  </si>
  <si>
    <t>PREZZO TOTALE</t>
  </si>
  <si>
    <t>Giudizio di idoneita Validità Aso 1 anno e Rec 5 anni</t>
  </si>
  <si>
    <t>Da fare alla trasformazione a Tempo Indeterminato (in caso di più di 6 mesi di tempo determinato da fare al 7° mese)</t>
  </si>
  <si>
    <r>
      <t>ASO visita + esami del sangue</t>
    </r>
    <r>
      <rPr>
        <i/>
        <sz val="9"/>
        <color theme="1"/>
        <rFont val="Gilroy-Bold"/>
      </rPr>
      <t xml:space="preserve"> (vedi nota)</t>
    </r>
  </si>
  <si>
    <t>Corso Formazione Sicurezza sul Lavoro (5 anni)</t>
  </si>
  <si>
    <r>
      <t xml:space="preserve">REC/SEDE/CM ecc </t>
    </r>
    <r>
      <rPr>
        <i/>
        <sz val="9"/>
        <color theme="1"/>
        <rFont val="Gilroy-Bold"/>
      </rPr>
      <t>(vedi nota)</t>
    </r>
  </si>
  <si>
    <t>Corsi Aggiornamento ASO (10 H) annuale</t>
  </si>
  <si>
    <t>Obbligatorio per tutte - data del corso verso Settembre / Ottobre - salvo diplomate nell'anno in corso</t>
  </si>
  <si>
    <t>TRASFERTA</t>
  </si>
  <si>
    <t>Uno per studio sempre</t>
  </si>
  <si>
    <t>Corso Antincendio (5 anni)</t>
  </si>
  <si>
    <t xml:space="preserve">Per contratti a tempo indeterminato </t>
  </si>
  <si>
    <t>Al 6° mese</t>
  </si>
  <si>
    <t>CORSO FORMAZIONE GENERALE (4 ore)</t>
  </si>
  <si>
    <t>GENERALE E SPECIFICA RISCHIO ALTO (SECONDA PARTE ASO)</t>
  </si>
  <si>
    <t>CORSO AGGIORNAMENTO SICUREZZA</t>
  </si>
  <si>
    <t>DIVISE</t>
  </si>
  <si>
    <t>ANTINCENDIO</t>
  </si>
  <si>
    <r>
      <rPr>
        <b/>
        <sz val="12"/>
        <color theme="1"/>
        <rFont val="Gilroy-Bold"/>
      </rPr>
      <t>Consegna</t>
    </r>
    <r>
      <rPr>
        <sz val="12"/>
        <color theme="1"/>
        <rFont val="Gill Sans Nova Light"/>
        <family val="2"/>
      </rPr>
      <t xml:space="preserve"> divise al dipendente alla firma del contratto (se non disponibili, al SV)</t>
    </r>
  </si>
  <si>
    <r>
      <rPr>
        <b/>
        <sz val="12"/>
        <color theme="1"/>
        <rFont val="Gilroy-Bold"/>
      </rPr>
      <t>Fine rapporto:</t>
    </r>
    <r>
      <rPr>
        <sz val="12"/>
        <color theme="1"/>
        <rFont val="Gill Sans Nova Light"/>
        <family val="2"/>
      </rPr>
      <t xml:space="preserve"> il dipendente le riporta a Gallarate entro 3 gg, altrimenti addebito</t>
    </r>
  </si>
  <si>
    <r>
      <rPr>
        <b/>
        <sz val="12"/>
        <color theme="1"/>
        <rFont val="Gilroy-Bold"/>
      </rPr>
      <t>Dottori</t>
    </r>
    <r>
      <rPr>
        <sz val="12"/>
        <color theme="1"/>
        <rFont val="Gill Sans Nova Light"/>
        <family val="2"/>
      </rPr>
      <t xml:space="preserve"> lasciano la divisa al CM e mandano mail a HR entro 3 gg, altrimenti addebito</t>
    </r>
  </si>
  <si>
    <t>RADIOPROTEZIONE</t>
  </si>
  <si>
    <t>CORSO INIZIALE</t>
  </si>
  <si>
    <t>AGGIORNAMENTO (solo in caso di cambiamenti dei rischi)</t>
  </si>
  <si>
    <t xml:space="preserve">STATO    </t>
  </si>
  <si>
    <t>SOCIETA'</t>
  </si>
  <si>
    <t>RUOLO</t>
  </si>
  <si>
    <t>MEDICO</t>
  </si>
  <si>
    <t>NOTE</t>
  </si>
  <si>
    <t>CONTRATTO ORIGINALE FIRMATO IN SEDE</t>
  </si>
  <si>
    <t>CONTRATTO  FIRMATO IN DIGITALE</t>
  </si>
  <si>
    <t>SESSO</t>
  </si>
  <si>
    <t>STATO DI NASCITA</t>
  </si>
  <si>
    <t>CITTADINANZA</t>
  </si>
  <si>
    <t>DATA DI NASCITA</t>
  </si>
  <si>
    <t>C.I. / PATENTE</t>
  </si>
  <si>
    <t>SCADENZA C.I. / SCADENZA PATENTE</t>
  </si>
  <si>
    <t>C.F.</t>
  </si>
  <si>
    <t>SCADENZA C.F.</t>
  </si>
  <si>
    <t>LAUREA</t>
  </si>
  <si>
    <t>EMAIL</t>
  </si>
  <si>
    <t>PEC</t>
  </si>
  <si>
    <t>P.IVA</t>
  </si>
  <si>
    <t>CELLULARE</t>
  </si>
  <si>
    <t>DATA INIZIO</t>
  </si>
  <si>
    <t>DATA FINE</t>
  </si>
  <si>
    <t>MOTIVO FINE RAPPORTO</t>
  </si>
  <si>
    <t>RICONSEGNA DIVISA IN STUDIO</t>
  </si>
  <si>
    <t>RICONSEGNA DIVISA IN SEDE</t>
  </si>
  <si>
    <t>BRANCHE</t>
  </si>
  <si>
    <t>% PROVV</t>
  </si>
  <si>
    <t>SCADENZA RC</t>
  </si>
  <si>
    <t>AUTOCERT.</t>
  </si>
  <si>
    <t>DEPOSITO FIRMA SOLO MONZA-BRIANZA</t>
  </si>
  <si>
    <t>DATA COMPILAZIONE OGNI 5 ANNI</t>
  </si>
  <si>
    <t>ATTESTATO LASER</t>
  </si>
  <si>
    <t>TESSERINO ALBO</t>
  </si>
  <si>
    <t>DATA ISCRIZIONE ALBO</t>
  </si>
  <si>
    <t>AGGIORNAMENTI ECM (TRIENNALE)</t>
  </si>
  <si>
    <t>FORMAZIONE CONFIDENT ACADEMY</t>
  </si>
  <si>
    <t>ODO</t>
  </si>
  <si>
    <t>Egitto</t>
  </si>
  <si>
    <t>EGY</t>
  </si>
  <si>
    <t>conservativa-endodonzia-chirurgia orale</t>
  </si>
  <si>
    <t>IGI</t>
  </si>
  <si>
    <t>Italia</t>
  </si>
  <si>
    <t>ITA</t>
  </si>
  <si>
    <t>igiene</t>
  </si>
  <si>
    <t>NON SERVE</t>
  </si>
  <si>
    <t>inizio 07/03</t>
  </si>
  <si>
    <t>ODO+DS</t>
  </si>
  <si>
    <t>conservativa - endodonzia - protesi - chirurgia</t>
  </si>
  <si>
    <t>Implantologia-protesi-chirurgia</t>
  </si>
  <si>
    <t>conservativa-endodonzia-pedodonzia-chirurgia-igiene</t>
  </si>
  <si>
    <t>DS</t>
  </si>
  <si>
    <t>DS poliambulatorio</t>
  </si>
  <si>
    <t>2023-2025</t>
  </si>
  <si>
    <t>conservativa - endodonzia</t>
  </si>
  <si>
    <t>ANEST</t>
  </si>
  <si>
    <t>anestesista</t>
  </si>
  <si>
    <t>DS poliambulatorio-DS odontostomatologia-chirurgia-implantologia</t>
  </si>
  <si>
    <t>DURATA IN MESI</t>
  </si>
  <si>
    <t>CONTRATTO CON PENALE FIRMATO</t>
  </si>
  <si>
    <t>ADDENDUM PENALE FIRMATO</t>
  </si>
  <si>
    <t>2023/2025</t>
  </si>
  <si>
    <t>no se resta rls</t>
  </si>
  <si>
    <t>AGGIORNAMENTO RLS</t>
  </si>
  <si>
    <t>CORSO RLS</t>
  </si>
  <si>
    <t>Magenes</t>
  </si>
  <si>
    <r>
      <t xml:space="preserve">PROGRAMMATO PER </t>
    </r>
    <r>
      <rPr>
        <b/>
        <sz val="7"/>
        <rFont val="Gill Sans Nova Light"/>
        <family val="2"/>
      </rPr>
      <t>OTTOBRE</t>
    </r>
  </si>
  <si>
    <t>Itakiana</t>
  </si>
  <si>
    <r>
      <t xml:space="preserve">PROGRAMMATO PER </t>
    </r>
    <r>
      <rPr>
        <b/>
        <sz val="7"/>
        <rFont val="Gill Sans Nova Light"/>
        <family val="2"/>
      </rPr>
      <t>SETTEMBRE</t>
    </r>
  </si>
  <si>
    <t>20/03/2026 ore 8,30</t>
  </si>
  <si>
    <t xml:space="preserve">13/01/2026 ore 16,20 </t>
  </si>
  <si>
    <t>09/02/2026 ore 8:30</t>
  </si>
  <si>
    <t>21/02/2026 ore 8:00</t>
  </si>
  <si>
    <t>28/02/2026 ore 8:00</t>
  </si>
  <si>
    <t xml:space="preserve"> 21/02/2026 ore 8:00</t>
  </si>
  <si>
    <t>20/02/2026 ore 8.00</t>
  </si>
  <si>
    <t xml:space="preserve"> 20/02/2026 ore 8.00</t>
  </si>
  <si>
    <t>10/03/2026 ore 8,20</t>
  </si>
  <si>
    <t>Data visita 
medica</t>
  </si>
  <si>
    <t>Data esami
 sangue</t>
  </si>
  <si>
    <t>CALENDARIO</t>
  </si>
  <si>
    <t>PRIMO CONTROLLO</t>
  </si>
  <si>
    <t>MI</t>
  </si>
  <si>
    <t>28/03/2026 ore 8,00</t>
  </si>
  <si>
    <t>Esami di controllo a seguito di puntura con ago</t>
  </si>
  <si>
    <t>2023 - 2025</t>
  </si>
  <si>
    <t>RLS (scadenza annualei)</t>
  </si>
  <si>
    <r>
      <t>(</t>
    </r>
    <r>
      <rPr>
        <b/>
        <i/>
        <sz val="12"/>
        <color theme="1"/>
        <rFont val="Gilroy-Bold"/>
      </rPr>
      <t>se è RLS non fare aggiornamento rischio basso</t>
    </r>
    <r>
      <rPr>
        <b/>
        <sz val="12"/>
        <color theme="1"/>
        <rFont val="Gilroy-Bold"/>
      </rPr>
      <t>)</t>
    </r>
  </si>
  <si>
    <t>GENERALE E SPECIFICA RISCHIO BASSO (REC/SEDE/PRIMA PARTE ASO) - NO RLS</t>
  </si>
  <si>
    <t>Laurea in economia</t>
  </si>
  <si>
    <r>
      <rPr>
        <sz val="7"/>
        <rFont val="Gill Sans Nova Light"/>
        <family val="2"/>
      </rPr>
      <t>PROGRAMMATO PER</t>
    </r>
    <r>
      <rPr>
        <sz val="9"/>
        <rFont val="Gill Sans Nova Light"/>
        <family val="2"/>
      </rPr>
      <t xml:space="preserve"> OTTOBRE</t>
    </r>
  </si>
  <si>
    <t>20/03/2026 ore 9,00</t>
  </si>
  <si>
    <t>20250915-439128</t>
  </si>
  <si>
    <t>20251007-446932</t>
  </si>
  <si>
    <t>20251007-446935</t>
  </si>
  <si>
    <t>20260121-478300</t>
  </si>
  <si>
    <t>20260121-478302</t>
  </si>
  <si>
    <t>20260218-490591</t>
  </si>
  <si>
    <t>Aggiornamento formazione per RLS di 4 ore. Novità legislative in materia di salute e sicurezza del lavoro (a cura di Lorenzo Fantini), la psicologia dell'infortunio e la percezione del rischio.</t>
  </si>
  <si>
    <t>A5-Formazione specifica per impiegati in attività di ufficio</t>
  </si>
  <si>
    <t>20260310-499541</t>
  </si>
  <si>
    <t>REC - SuperRec</t>
  </si>
  <si>
    <t>Supervisor</t>
  </si>
  <si>
    <t>20260310-499538</t>
  </si>
  <si>
    <t>si</t>
  </si>
  <si>
    <t>Diploma Fiananza e Marketing</t>
  </si>
  <si>
    <r>
      <rPr>
        <sz val="7"/>
        <rFont val="Gill Sans Nova Light"/>
        <family val="2"/>
      </rPr>
      <t>PROGRAMMATO PER</t>
    </r>
    <r>
      <rPr>
        <sz val="9"/>
        <rFont val="Gill Sans Nova Light"/>
        <family val="2"/>
      </rPr>
      <t xml:space="preserve"> </t>
    </r>
    <r>
      <rPr>
        <b/>
        <sz val="9"/>
        <rFont val="Gill Sans Nova Light"/>
        <family val="2"/>
      </rPr>
      <t>OTTOBRE</t>
    </r>
  </si>
  <si>
    <t xml:space="preserve">dice che l'ha finito </t>
  </si>
  <si>
    <t>dice che è a metà…</t>
  </si>
  <si>
    <t>dice che ha finito</t>
  </si>
  <si>
    <t xml:space="preserve">da finire 2 corsi… </t>
  </si>
  <si>
    <t>non ha fatto niente</t>
  </si>
  <si>
    <t>non risp</t>
  </si>
  <si>
    <t>fatta formazione generale manca la seconda parte rischio basso</t>
  </si>
  <si>
    <t>17/04/2026 ore 9,20</t>
  </si>
  <si>
    <t>17/04/2026 ore 9,50</t>
  </si>
  <si>
    <t>fine 13/06/2026</t>
  </si>
  <si>
    <t>17/04/2026 ore 8,50</t>
  </si>
  <si>
    <t>17/04/2026 ore 8,20</t>
  </si>
  <si>
    <t>SOLO PARTE ASO MANCANTE</t>
  </si>
  <si>
    <t>SECONDO CONTROLLO</t>
  </si>
  <si>
    <t>RENTRI</t>
  </si>
  <si>
    <t>Credenziali</t>
  </si>
  <si>
    <t>Data Attivazione</t>
  </si>
  <si>
    <t>M9F5QZ3FY</t>
  </si>
  <si>
    <t>5H9A4O3A6</t>
  </si>
  <si>
    <t>Q9VWLP3PL</t>
  </si>
  <si>
    <t>JVS4593Q5</t>
  </si>
  <si>
    <t>EF56KJ3PW</t>
  </si>
  <si>
    <t>PROTOCOLLI</t>
  </si>
  <si>
    <t>SICUREZZA</t>
  </si>
  <si>
    <t>LEGIONELLA</t>
  </si>
  <si>
    <t>Q5SU0L37Z</t>
  </si>
  <si>
    <t>9RGWIA37X</t>
  </si>
  <si>
    <t>GG7N8P38Z</t>
  </si>
  <si>
    <t>2VKK743AO</t>
  </si>
  <si>
    <t>796P2I38G</t>
  </si>
  <si>
    <t>AFHGR12S3</t>
  </si>
  <si>
    <t>9L9MI82S3</t>
  </si>
  <si>
    <t>J1XCKA3EO</t>
  </si>
  <si>
    <t>IT4EPL2QA</t>
  </si>
  <si>
    <t>J7LQIC2QA</t>
  </si>
  <si>
    <t>J7FFD32QA</t>
  </si>
  <si>
    <t>Clinica</t>
  </si>
  <si>
    <t xml:space="preserve">SI </t>
  </si>
  <si>
    <t>13/02/2026</t>
  </si>
  <si>
    <t>WQ5IWS2PS</t>
  </si>
  <si>
    <t>UB6TVI2PZ</t>
  </si>
  <si>
    <t>QQVEH034P</t>
  </si>
  <si>
    <t>N9724Z2JL</t>
  </si>
  <si>
    <t>CRV0RB2W8</t>
  </si>
  <si>
    <t>UWTXLZ56L</t>
  </si>
  <si>
    <t>J9OU723MJ</t>
  </si>
  <si>
    <t>OV0ZSC3MI</t>
  </si>
  <si>
    <t>Q9RBCK56N</t>
  </si>
  <si>
    <t>BNHKKN3S5</t>
  </si>
  <si>
    <t>3ZVUFY3X4</t>
  </si>
  <si>
    <t>BFLYRQ56N</t>
  </si>
  <si>
    <t>DUEH6M3ZS</t>
  </si>
  <si>
    <t>6XB1MJ2IO</t>
  </si>
  <si>
    <t>99EM7H3AT</t>
  </si>
  <si>
    <t>UNJ6774QY</t>
  </si>
  <si>
    <t>12/05/2026 ore 13,30</t>
  </si>
  <si>
    <t>MATERNITA'</t>
  </si>
  <si>
    <t>Aggiornamento formazione per RLS di 4 ore. La psicologia al lavoro.</t>
  </si>
  <si>
    <t>Receptionist</t>
  </si>
  <si>
    <t>Human Resources</t>
  </si>
  <si>
    <t>20260319-504340</t>
  </si>
  <si>
    <t>20260319-504337</t>
  </si>
  <si>
    <t>20260319-504318</t>
  </si>
  <si>
    <t>20260130-482560</t>
  </si>
  <si>
    <t>20260121-478301</t>
  </si>
  <si>
    <t>20251209-468009</t>
  </si>
  <si>
    <t>20251209-468011</t>
  </si>
  <si>
    <t>20251106-457282</t>
  </si>
  <si>
    <t>(Nome e Cognome)</t>
  </si>
  <si>
    <t>***************</t>
  </si>
  <si>
    <t>******</t>
  </si>
  <si>
    <t>**********</t>
  </si>
  <si>
    <t>*****</t>
  </si>
  <si>
    <t>*******</t>
  </si>
  <si>
    <t>********</t>
  </si>
  <si>
    <t>****************</t>
  </si>
  <si>
    <t>******************</t>
  </si>
  <si>
    <t>Nome e Cognome</t>
  </si>
  <si>
    <t>*******************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</si>
</sst>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/m/yyyy"/>
    <numFmt numFmtId="165" formatCode="_-* #,##0.00\ [$€-410]_-;\-* #,##0.00\ [$€-410]_-;_-* &quot;-&quot;??\ [$€-410]_-;_-@"/>
    <numFmt numFmtId="166" formatCode="[$-410]mmm\-yy;@"/>
  </numFmts>
  <fonts count="44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Gilroy-Bold"/>
    </font>
    <font>
      <sz val="10"/>
      <color theme="1"/>
      <name val="Gilroy-Bold"/>
    </font>
    <font>
      <sz val="10"/>
      <color theme="1"/>
      <name val="Gill Sans Nova Light"/>
      <family val="2"/>
    </font>
    <font>
      <sz val="10"/>
      <color theme="1"/>
      <name val="Calibri"/>
      <family val="2"/>
      <scheme val="minor"/>
    </font>
    <font>
      <b/>
      <sz val="12"/>
      <color theme="1"/>
      <name val="Gilroy-Bold"/>
    </font>
    <font>
      <sz val="11"/>
      <color theme="1"/>
      <name val="Gilroy-Bold"/>
    </font>
    <font>
      <sz val="9"/>
      <color theme="1"/>
      <name val="Gilroy-Bold"/>
    </font>
    <font>
      <sz val="14"/>
      <color theme="1"/>
      <name val="Gilroy-Bold"/>
    </font>
    <font>
      <sz val="11"/>
      <color theme="1"/>
      <name val="Gill Sans Nova Light"/>
      <family val="2"/>
    </font>
    <font>
      <sz val="14"/>
      <color theme="1"/>
      <name val="Gill Sans Nova Light"/>
      <family val="2"/>
    </font>
    <font>
      <sz val="12"/>
      <color theme="1"/>
      <name val="Gill Sans Nova Light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Gilroy-Bold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Gilroy-Bold"/>
    </font>
    <font>
      <sz val="10"/>
      <name val="Gill Sans Nova Light"/>
      <family val="2"/>
    </font>
    <font>
      <b/>
      <sz val="10"/>
      <color theme="1"/>
      <name val="Gilroy-Bold"/>
    </font>
    <font>
      <b/>
      <sz val="10"/>
      <name val="Gilroy-Bold"/>
    </font>
    <font>
      <sz val="9"/>
      <name val="Calibri"/>
      <family val="2"/>
    </font>
    <font>
      <sz val="9"/>
      <name val="Calibri"/>
      <family val="2"/>
      <scheme val="minor"/>
    </font>
    <font>
      <sz val="9"/>
      <name val="Gill Sans Nova Light"/>
      <family val="2"/>
    </font>
    <font>
      <b/>
      <sz val="9"/>
      <name val="Gilroy-Bold"/>
    </font>
    <font>
      <sz val="9"/>
      <name val="Gilroy-Bold"/>
    </font>
    <font>
      <u/>
      <sz val="12"/>
      <color theme="10"/>
      <name val="Calibri"/>
      <family val="2"/>
      <scheme val="minor"/>
    </font>
    <font>
      <b/>
      <sz val="10"/>
      <name val="Gill Sans Nova Light"/>
      <family val="2"/>
    </font>
    <font>
      <sz val="7"/>
      <name val="Gill Sans Nova Light"/>
      <family val="2"/>
    </font>
    <font>
      <b/>
      <sz val="9"/>
      <name val="Gill Sans Nova Light"/>
      <family val="2"/>
    </font>
    <font>
      <b/>
      <sz val="7"/>
      <name val="Gill Sans Nova Light"/>
      <family val="2"/>
    </font>
    <font>
      <sz val="11"/>
      <color rgb="FF000000"/>
      <name val="Calibri"/>
      <family val="2"/>
    </font>
    <font>
      <b/>
      <sz val="10"/>
      <color theme="1"/>
      <name val="Gill Sans Nova Light"/>
      <family val="2"/>
    </font>
    <font>
      <sz val="12"/>
      <color theme="1"/>
      <name val="Calibri"/>
      <family val="2"/>
      <scheme val="minor"/>
    </font>
    <font>
      <b/>
      <u/>
      <sz val="11"/>
      <color theme="1"/>
      <name val="Gilroy-Bold"/>
    </font>
    <font>
      <i/>
      <sz val="9"/>
      <color theme="1"/>
      <name val="Gilroy-Bold"/>
    </font>
    <font>
      <b/>
      <sz val="11"/>
      <name val="Calibri"/>
      <family val="2"/>
      <scheme val="minor"/>
    </font>
    <font>
      <b/>
      <sz val="14"/>
      <name val="Gilroy-Bold"/>
    </font>
    <font>
      <b/>
      <sz val="22"/>
      <color theme="1"/>
      <name val="Calibri"/>
      <family val="2"/>
      <scheme val="minor"/>
    </font>
    <font>
      <b/>
      <i/>
      <sz val="12"/>
      <color theme="1"/>
      <name val="Gilroy-Bold"/>
    </font>
    <font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0D0F8"/>
        <bgColor rgb="FF00D0F8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FF9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15AEBC"/>
        <bgColor indexed="64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44" fontId="3" fillId="0" borderId="0" applyFont="0" applyFill="0" applyBorder="0" applyAlignment="0" applyProtection="0"/>
    <xf numFmtId="0" fontId="19" fillId="0" borderId="1"/>
    <xf numFmtId="0" fontId="29" fillId="0" borderId="0" applyNumberFormat="0" applyFill="0" applyBorder="0" applyAlignment="0" applyProtection="0"/>
    <xf numFmtId="0" fontId="34" fillId="0" borderId="1"/>
    <xf numFmtId="0" fontId="36" fillId="0" borderId="1"/>
    <xf numFmtId="44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0" fontId="29" fillId="0" borderId="1" applyNumberFormat="0" applyFill="0" applyBorder="0" applyAlignment="0" applyProtection="0"/>
    <xf numFmtId="0" fontId="19" fillId="0" borderId="1"/>
    <xf numFmtId="0" fontId="43" fillId="0" borderId="1"/>
  </cellStyleXfs>
  <cellXfs count="412">
    <xf numFmtId="0" fontId="0" fillId="0" borderId="0" xfId="0"/>
    <xf numFmtId="0" fontId="1" fillId="0" borderId="0" xfId="0" applyFont="1"/>
    <xf numFmtId="166" fontId="5" fillId="0" borderId="2" xfId="0" applyNumberFormat="1" applyFont="1" applyBorder="1"/>
    <xf numFmtId="0" fontId="5" fillId="0" borderId="2" xfId="0" applyFont="1" applyBorder="1"/>
    <xf numFmtId="0" fontId="6" fillId="0" borderId="2" xfId="0" applyFont="1" applyBorder="1"/>
    <xf numFmtId="44" fontId="6" fillId="0" borderId="4" xfId="1" applyFont="1" applyFill="1" applyBorder="1"/>
    <xf numFmtId="0" fontId="7" fillId="0" borderId="0" xfId="0" applyFont="1"/>
    <xf numFmtId="166" fontId="5" fillId="0" borderId="7" xfId="0" applyNumberFormat="1" applyFont="1" applyBorder="1"/>
    <xf numFmtId="0" fontId="5" fillId="0" borderId="7" xfId="0" applyFont="1" applyBorder="1"/>
    <xf numFmtId="0" fontId="6" fillId="0" borderId="7" xfId="0" applyFont="1" applyBorder="1"/>
    <xf numFmtId="44" fontId="6" fillId="0" borderId="8" xfId="1" applyFont="1" applyFill="1" applyBorder="1"/>
    <xf numFmtId="44" fontId="6" fillId="0" borderId="2" xfId="1" applyFont="1" applyFill="1" applyBorder="1"/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4" fontId="12" fillId="0" borderId="10" xfId="1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9" xfId="0" applyFont="1" applyBorder="1" applyAlignment="1">
      <alignment vertical="center" wrapText="1"/>
    </xf>
    <xf numFmtId="44" fontId="12" fillId="0" borderId="9" xfId="1" applyFont="1" applyBorder="1" applyAlignment="1">
      <alignment vertical="center" wrapText="1"/>
    </xf>
    <xf numFmtId="44" fontId="13" fillId="0" borderId="0" xfId="1" applyFont="1" applyAlignment="1">
      <alignment vertical="center"/>
    </xf>
    <xf numFmtId="44" fontId="12" fillId="0" borderId="0" xfId="1" applyFont="1" applyAlignment="1">
      <alignment vertical="center"/>
    </xf>
    <xf numFmtId="44" fontId="12" fillId="0" borderId="9" xfId="1" applyFont="1" applyBorder="1" applyAlignment="1">
      <alignment vertical="center"/>
    </xf>
    <xf numFmtId="44" fontId="12" fillId="0" borderId="1" xfId="1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4" fillId="0" borderId="0" xfId="0" applyFont="1"/>
    <xf numFmtId="0" fontId="12" fillId="0" borderId="0" xfId="0" applyFont="1" applyAlignment="1">
      <alignment vertical="center" wrapText="1"/>
    </xf>
    <xf numFmtId="166" fontId="5" fillId="0" borderId="2" xfId="0" applyNumberFormat="1" applyFont="1" applyBorder="1" applyAlignment="1">
      <alignment horizontal="center"/>
    </xf>
    <xf numFmtId="166" fontId="5" fillId="0" borderId="7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66" fontId="5" fillId="0" borderId="4" xfId="0" applyNumberFormat="1" applyFont="1" applyBorder="1"/>
    <xf numFmtId="0" fontId="5" fillId="0" borderId="4" xfId="0" applyFont="1" applyBorder="1"/>
    <xf numFmtId="0" fontId="6" fillId="0" borderId="4" xfId="0" applyFont="1" applyBorder="1"/>
    <xf numFmtId="166" fontId="5" fillId="0" borderId="4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8" fillId="0" borderId="0" xfId="0" applyFont="1"/>
    <xf numFmtId="0" fontId="4" fillId="3" borderId="6" xfId="0" applyFont="1" applyFill="1" applyBorder="1" applyAlignment="1">
      <alignment horizontal="right"/>
    </xf>
    <xf numFmtId="44" fontId="8" fillId="3" borderId="2" xfId="1" applyFont="1" applyFill="1" applyBorder="1"/>
    <xf numFmtId="166" fontId="5" fillId="3" borderId="2" xfId="0" applyNumberFormat="1" applyFont="1" applyFill="1" applyBorder="1"/>
    <xf numFmtId="0" fontId="4" fillId="3" borderId="5" xfId="0" applyFont="1" applyFill="1" applyBorder="1"/>
    <xf numFmtId="0" fontId="4" fillId="3" borderId="10" xfId="0" applyFont="1" applyFill="1" applyBorder="1" applyAlignment="1">
      <alignment horizontal="center"/>
    </xf>
    <xf numFmtId="166" fontId="5" fillId="3" borderId="2" xfId="0" applyNumberFormat="1" applyFont="1" applyFill="1" applyBorder="1" applyAlignment="1">
      <alignment horizontal="center"/>
    </xf>
    <xf numFmtId="166" fontId="5" fillId="3" borderId="7" xfId="0" applyNumberFormat="1" applyFont="1" applyFill="1" applyBorder="1"/>
    <xf numFmtId="0" fontId="10" fillId="3" borderId="5" xfId="0" applyFont="1" applyFill="1" applyBorder="1"/>
    <xf numFmtId="0" fontId="10" fillId="3" borderId="10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right"/>
    </xf>
    <xf numFmtId="44" fontId="17" fillId="3" borderId="2" xfId="1" applyFont="1" applyFill="1" applyBorder="1"/>
    <xf numFmtId="166" fontId="10" fillId="3" borderId="2" xfId="0" applyNumberFormat="1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1" fillId="3" borderId="5" xfId="0" applyFont="1" applyFill="1" applyBorder="1"/>
    <xf numFmtId="0" fontId="10" fillId="3" borderId="11" xfId="0" applyFont="1" applyFill="1" applyBorder="1"/>
    <xf numFmtId="0" fontId="10" fillId="3" borderId="9" xfId="0" applyFont="1" applyFill="1" applyBorder="1" applyAlignment="1">
      <alignment horizontal="center"/>
    </xf>
    <xf numFmtId="44" fontId="17" fillId="3" borderId="4" xfId="1" applyFont="1" applyFill="1" applyBorder="1"/>
    <xf numFmtId="166" fontId="10" fillId="3" borderId="4" xfId="0" applyNumberFormat="1" applyFont="1" applyFill="1" applyBorder="1" applyAlignment="1">
      <alignment horizontal="center"/>
    </xf>
    <xf numFmtId="166" fontId="5" fillId="3" borderId="4" xfId="0" applyNumberFormat="1" applyFont="1" applyFill="1" applyBorder="1"/>
    <xf numFmtId="0" fontId="18" fillId="3" borderId="5" xfId="0" applyFont="1" applyFill="1" applyBorder="1"/>
    <xf numFmtId="0" fontId="18" fillId="3" borderId="10" xfId="0" applyFont="1" applyFill="1" applyBorder="1" applyAlignment="1">
      <alignment horizontal="center"/>
    </xf>
    <xf numFmtId="0" fontId="0" fillId="0" borderId="1" xfId="0" applyBorder="1"/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14" fontId="6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4" fontId="6" fillId="0" borderId="1" xfId="0" applyNumberFormat="1" applyFont="1" applyBorder="1" applyAlignment="1">
      <alignment vertical="center"/>
    </xf>
    <xf numFmtId="14" fontId="6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1" xfId="0" applyFont="1" applyBorder="1" applyAlignment="1">
      <alignment horizontal="left" vertical="center"/>
    </xf>
    <xf numFmtId="14" fontId="25" fillId="0" borderId="1" xfId="0" applyNumberFormat="1" applyFont="1" applyBorder="1" applyAlignment="1">
      <alignment wrapText="1"/>
    </xf>
    <xf numFmtId="0" fontId="26" fillId="0" borderId="2" xfId="0" applyFont="1" applyBorder="1" applyAlignment="1">
      <alignment vertical="center" wrapText="1"/>
    </xf>
    <xf numFmtId="14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14" fontId="26" fillId="0" borderId="2" xfId="0" quotePrefix="1" applyNumberFormat="1" applyFont="1" applyBorder="1" applyAlignment="1">
      <alignment horizontal="center" vertical="center" wrapText="1"/>
    </xf>
    <xf numFmtId="164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 wrapText="1"/>
    </xf>
    <xf numFmtId="0" fontId="25" fillId="0" borderId="1" xfId="0" applyFont="1" applyBorder="1" applyAlignment="1">
      <alignment vertical="center" wrapText="1"/>
    </xf>
    <xf numFmtId="14" fontId="25" fillId="0" borderId="0" xfId="0" applyNumberFormat="1" applyFont="1" applyAlignment="1">
      <alignment horizontal="center" vertical="center" wrapText="1"/>
    </xf>
    <xf numFmtId="14" fontId="25" fillId="0" borderId="1" xfId="0" applyNumberFormat="1" applyFont="1" applyBorder="1" applyAlignment="1">
      <alignment horizontal="center" vertical="center" wrapText="1"/>
    </xf>
    <xf numFmtId="14" fontId="25" fillId="0" borderId="1" xfId="0" applyNumberFormat="1" applyFont="1" applyBorder="1" applyAlignment="1">
      <alignment vertical="center" wrapText="1"/>
    </xf>
    <xf numFmtId="14" fontId="26" fillId="0" borderId="2" xfId="0" applyNumberFormat="1" applyFont="1" applyBorder="1" applyAlignment="1">
      <alignment horizontal="left" vertical="center" wrapText="1"/>
    </xf>
    <xf numFmtId="0" fontId="28" fillId="0" borderId="0" xfId="0" applyFont="1" applyAlignment="1">
      <alignment vertical="center" wrapText="1"/>
    </xf>
    <xf numFmtId="0" fontId="26" fillId="0" borderId="2" xfId="0" quotePrefix="1" applyFont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12" fillId="0" borderId="2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4" fontId="22" fillId="0" borderId="3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14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4" fontId="20" fillId="0" borderId="0" xfId="0" applyNumberFormat="1" applyFont="1" applyAlignment="1">
      <alignment horizontal="left" vertical="center"/>
    </xf>
    <xf numFmtId="0" fontId="0" fillId="0" borderId="2" xfId="0" applyBorder="1"/>
    <xf numFmtId="0" fontId="8" fillId="6" borderId="13" xfId="0" applyFont="1" applyFill="1" applyBorder="1"/>
    <xf numFmtId="0" fontId="8" fillId="6" borderId="15" xfId="0" applyFont="1" applyFill="1" applyBorder="1"/>
    <xf numFmtId="14" fontId="26" fillId="0" borderId="6" xfId="0" applyNumberFormat="1" applyFont="1" applyBorder="1" applyAlignment="1">
      <alignment horizontal="center" vertical="center" wrapText="1"/>
    </xf>
    <xf numFmtId="14" fontId="26" fillId="0" borderId="7" xfId="0" applyNumberFormat="1" applyFont="1" applyBorder="1" applyAlignment="1">
      <alignment horizontal="center" vertical="center" wrapText="1"/>
    </xf>
    <xf numFmtId="0" fontId="26" fillId="0" borderId="7" xfId="0" applyFont="1" applyBorder="1" applyAlignment="1">
      <alignment vertical="center" wrapText="1"/>
    </xf>
    <xf numFmtId="14" fontId="26" fillId="0" borderId="4" xfId="0" applyNumberFormat="1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4" xfId="0" applyFont="1" applyBorder="1" applyAlignment="1">
      <alignment vertical="center" wrapText="1"/>
    </xf>
    <xf numFmtId="0" fontId="26" fillId="0" borderId="8" xfId="0" applyFont="1" applyBorder="1" applyAlignment="1">
      <alignment vertical="center" wrapText="1"/>
    </xf>
    <xf numFmtId="0" fontId="26" fillId="0" borderId="4" xfId="0" applyFont="1" applyBorder="1" applyAlignment="1">
      <alignment horizontal="center" vertical="center" wrapText="1"/>
    </xf>
    <xf numFmtId="14" fontId="26" fillId="0" borderId="8" xfId="0" applyNumberFormat="1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164" fontId="26" fillId="0" borderId="7" xfId="0" applyNumberFormat="1" applyFont="1" applyBorder="1" applyAlignment="1">
      <alignment horizontal="left" vertical="center" wrapText="1"/>
    </xf>
    <xf numFmtId="14" fontId="26" fillId="0" borderId="7" xfId="0" quotePrefix="1" applyNumberFormat="1" applyFont="1" applyBorder="1" applyAlignment="1">
      <alignment horizontal="center" vertical="center" wrapText="1"/>
    </xf>
    <xf numFmtId="14" fontId="26" fillId="0" borderId="4" xfId="0" quotePrefix="1" applyNumberFormat="1" applyFont="1" applyBorder="1" applyAlignment="1">
      <alignment horizontal="center" vertical="center" wrapText="1"/>
    </xf>
    <xf numFmtId="164" fontId="26" fillId="0" borderId="4" xfId="0" applyNumberFormat="1" applyFont="1" applyBorder="1" applyAlignment="1">
      <alignment horizontal="center" vertical="center" wrapText="1"/>
    </xf>
    <xf numFmtId="14" fontId="26" fillId="0" borderId="11" xfId="0" applyNumberFormat="1" applyFont="1" applyBorder="1" applyAlignment="1">
      <alignment horizontal="center" vertical="center" wrapText="1"/>
    </xf>
    <xf numFmtId="0" fontId="26" fillId="0" borderId="29" xfId="0" applyFont="1" applyBorder="1" applyAlignment="1">
      <alignment vertical="center" wrapText="1"/>
    </xf>
    <xf numFmtId="0" fontId="26" fillId="0" borderId="30" xfId="0" applyFont="1" applyBorder="1" applyAlignment="1">
      <alignment vertical="center" wrapText="1"/>
    </xf>
    <xf numFmtId="0" fontId="26" fillId="0" borderId="30" xfId="0" applyFont="1" applyBorder="1" applyAlignment="1">
      <alignment horizontal="center" vertical="center" wrapText="1"/>
    </xf>
    <xf numFmtId="14" fontId="26" fillId="0" borderId="30" xfId="0" applyNumberFormat="1" applyFont="1" applyBorder="1" applyAlignment="1">
      <alignment horizontal="center" vertical="center" wrapText="1"/>
    </xf>
    <xf numFmtId="0" fontId="26" fillId="0" borderId="33" xfId="0" applyFont="1" applyBorder="1" applyAlignment="1">
      <alignment vertical="center" wrapText="1"/>
    </xf>
    <xf numFmtId="0" fontId="26" fillId="0" borderId="20" xfId="0" applyFont="1" applyBorder="1" applyAlignment="1">
      <alignment vertical="center" wrapText="1"/>
    </xf>
    <xf numFmtId="0" fontId="26" fillId="0" borderId="20" xfId="0" applyFont="1" applyBorder="1" applyAlignment="1">
      <alignment horizontal="center" vertical="center" wrapText="1"/>
    </xf>
    <xf numFmtId="14" fontId="26" fillId="0" borderId="20" xfId="0" applyNumberFormat="1" applyFont="1" applyBorder="1" applyAlignment="1">
      <alignment horizontal="center" vertical="center" wrapText="1"/>
    </xf>
    <xf numFmtId="14" fontId="26" fillId="0" borderId="20" xfId="0" quotePrefix="1" applyNumberFormat="1" applyFont="1" applyBorder="1" applyAlignment="1">
      <alignment horizontal="center" vertical="center" wrapText="1"/>
    </xf>
    <xf numFmtId="14" fontId="26" fillId="0" borderId="21" xfId="0" applyNumberFormat="1" applyFont="1" applyBorder="1" applyAlignment="1">
      <alignment horizontal="center" vertical="center" wrapText="1"/>
    </xf>
    <xf numFmtId="14" fontId="26" fillId="0" borderId="34" xfId="0" applyNumberFormat="1" applyFont="1" applyBorder="1" applyAlignment="1">
      <alignment horizontal="center" vertical="center" wrapText="1"/>
    </xf>
    <xf numFmtId="14" fontId="26" fillId="0" borderId="36" xfId="0" quotePrefix="1" applyNumberFormat="1" applyFont="1" applyBorder="1" applyAlignment="1">
      <alignment horizontal="center" vertical="center" wrapText="1"/>
    </xf>
    <xf numFmtId="14" fontId="26" fillId="0" borderId="23" xfId="0" applyNumberFormat="1" applyFont="1" applyBorder="1" applyAlignment="1">
      <alignment horizontal="center" vertical="center" wrapText="1"/>
    </xf>
    <xf numFmtId="0" fontId="26" fillId="0" borderId="37" xfId="0" applyFont="1" applyBorder="1" applyAlignment="1">
      <alignment vertical="center" wrapText="1"/>
    </xf>
    <xf numFmtId="14" fontId="26" fillId="0" borderId="38" xfId="0" applyNumberFormat="1" applyFont="1" applyBorder="1" applyAlignment="1">
      <alignment horizontal="center" vertical="center" wrapText="1"/>
    </xf>
    <xf numFmtId="14" fontId="26" fillId="0" borderId="22" xfId="0" applyNumberFormat="1" applyFont="1" applyBorder="1" applyAlignment="1">
      <alignment horizontal="center" vertical="center" wrapText="1"/>
    </xf>
    <xf numFmtId="14" fontId="26" fillId="0" borderId="39" xfId="0" applyNumberFormat="1" applyFont="1" applyBorder="1" applyAlignment="1">
      <alignment horizontal="center" vertical="center" wrapText="1"/>
    </xf>
    <xf numFmtId="0" fontId="26" fillId="0" borderId="4" xfId="0" applyFont="1" applyBorder="1" applyAlignment="1">
      <alignment horizontal="left" vertical="center" wrapText="1"/>
    </xf>
    <xf numFmtId="0" fontId="26" fillId="0" borderId="4" xfId="0" quotePrefix="1" applyFont="1" applyBorder="1" applyAlignment="1">
      <alignment horizontal="center" vertical="center" wrapText="1"/>
    </xf>
    <xf numFmtId="0" fontId="26" fillId="0" borderId="20" xfId="0" applyFont="1" applyBorder="1" applyAlignment="1">
      <alignment horizontal="left" vertical="center" wrapText="1"/>
    </xf>
    <xf numFmtId="14" fontId="26" fillId="0" borderId="40" xfId="0" applyNumberFormat="1" applyFont="1" applyBorder="1" applyAlignment="1">
      <alignment horizontal="center" vertical="center" wrapText="1"/>
    </xf>
    <xf numFmtId="0" fontId="0" fillId="0" borderId="4" xfId="0" applyBorder="1"/>
    <xf numFmtId="0" fontId="26" fillId="0" borderId="44" xfId="0" applyFont="1" applyBorder="1" applyAlignment="1">
      <alignment horizontal="center" vertical="center" wrapText="1"/>
    </xf>
    <xf numFmtId="0" fontId="6" fillId="7" borderId="2" xfId="0" applyFont="1" applyFill="1" applyBorder="1"/>
    <xf numFmtId="44" fontId="6" fillId="7" borderId="4" xfId="1" applyFont="1" applyFill="1" applyBorder="1"/>
    <xf numFmtId="166" fontId="5" fillId="7" borderId="2" xfId="0" applyNumberFormat="1" applyFont="1" applyFill="1" applyBorder="1" applyAlignment="1">
      <alignment horizontal="center"/>
    </xf>
    <xf numFmtId="0" fontId="6" fillId="4" borderId="2" xfId="0" applyFont="1" applyFill="1" applyBorder="1"/>
    <xf numFmtId="44" fontId="6" fillId="4" borderId="4" xfId="1" applyFont="1" applyFill="1" applyBorder="1"/>
    <xf numFmtId="166" fontId="5" fillId="4" borderId="7" xfId="0" applyNumberFormat="1" applyFont="1" applyFill="1" applyBorder="1" applyAlignment="1">
      <alignment horizontal="center"/>
    </xf>
    <xf numFmtId="14" fontId="27" fillId="2" borderId="46" xfId="0" applyNumberFormat="1" applyFont="1" applyFill="1" applyBorder="1" applyAlignment="1">
      <alignment horizontal="center" vertical="center" wrapText="1"/>
    </xf>
    <xf numFmtId="44" fontId="6" fillId="7" borderId="2" xfId="1" applyFont="1" applyFill="1" applyBorder="1"/>
    <xf numFmtId="166" fontId="5" fillId="4" borderId="2" xfId="0" applyNumberFormat="1" applyFont="1" applyFill="1" applyBorder="1" applyAlignment="1">
      <alignment horizontal="center"/>
    </xf>
    <xf numFmtId="0" fontId="12" fillId="0" borderId="1" xfId="0" applyFont="1" applyBorder="1" applyAlignment="1">
      <alignment vertical="center"/>
    </xf>
    <xf numFmtId="0" fontId="22" fillId="0" borderId="24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14" fontId="22" fillId="0" borderId="25" xfId="0" applyNumberFormat="1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14" fontId="22" fillId="0" borderId="26" xfId="0" applyNumberFormat="1" applyFont="1" applyBorder="1" applyAlignment="1">
      <alignment horizontal="center" vertical="center" wrapText="1"/>
    </xf>
    <xf numFmtId="0" fontId="6" fillId="4" borderId="7" xfId="0" applyFont="1" applyFill="1" applyBorder="1"/>
    <xf numFmtId="14" fontId="27" fillId="2" borderId="44" xfId="0" applyNumberFormat="1" applyFont="1" applyFill="1" applyBorder="1" applyAlignment="1">
      <alignment horizontal="center" vertical="center" wrapText="1"/>
    </xf>
    <xf numFmtId="0" fontId="21" fillId="8" borderId="2" xfId="0" applyFont="1" applyFill="1" applyBorder="1"/>
    <xf numFmtId="44" fontId="21" fillId="8" borderId="4" xfId="1" applyFont="1" applyFill="1" applyBorder="1"/>
    <xf numFmtId="44" fontId="30" fillId="8" borderId="4" xfId="1" applyFont="1" applyFill="1" applyBorder="1"/>
    <xf numFmtId="166" fontId="5" fillId="8" borderId="2" xfId="0" applyNumberFormat="1" applyFont="1" applyFill="1" applyBorder="1" applyAlignment="1">
      <alignment horizontal="center"/>
    </xf>
    <xf numFmtId="0" fontId="6" fillId="8" borderId="2" xfId="0" applyFont="1" applyFill="1" applyBorder="1"/>
    <xf numFmtId="44" fontId="6" fillId="8" borderId="4" xfId="1" applyFont="1" applyFill="1" applyBorder="1"/>
    <xf numFmtId="44" fontId="35" fillId="8" borderId="4" xfId="1" applyFont="1" applyFill="1" applyBorder="1"/>
    <xf numFmtId="44" fontId="6" fillId="8" borderId="2" xfId="1" applyFont="1" applyFill="1" applyBorder="1"/>
    <xf numFmtId="14" fontId="26" fillId="10" borderId="5" xfId="0" applyNumberFormat="1" applyFont="1" applyFill="1" applyBorder="1" applyAlignment="1">
      <alignment horizontal="center" vertical="center" wrapText="1"/>
    </xf>
    <xf numFmtId="0" fontId="28" fillId="0" borderId="2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14" fontId="26" fillId="7" borderId="20" xfId="0" applyNumberFormat="1" applyFont="1" applyFill="1" applyBorder="1" applyAlignment="1">
      <alignment horizontal="center" vertical="center" wrapText="1"/>
    </xf>
    <xf numFmtId="44" fontId="6" fillId="4" borderId="2" xfId="1" applyFont="1" applyFill="1" applyBorder="1"/>
    <xf numFmtId="0" fontId="27" fillId="2" borderId="46" xfId="0" applyFont="1" applyFill="1" applyBorder="1" applyAlignment="1">
      <alignment horizontal="center" vertical="center" wrapText="1"/>
    </xf>
    <xf numFmtId="44" fontId="6" fillId="0" borderId="4" xfId="1" applyFont="1" applyBorder="1"/>
    <xf numFmtId="44" fontId="6" fillId="0" borderId="2" xfId="1" applyFont="1" applyBorder="1"/>
    <xf numFmtId="0" fontId="5" fillId="3" borderId="52" xfId="0" applyFont="1" applyFill="1" applyBorder="1" applyAlignment="1">
      <alignment horizontal="center"/>
    </xf>
    <xf numFmtId="0" fontId="1" fillId="3" borderId="52" xfId="0" applyFont="1" applyFill="1" applyBorder="1"/>
    <xf numFmtId="44" fontId="8" fillId="3" borderId="6" xfId="1" applyFont="1" applyFill="1" applyBorder="1"/>
    <xf numFmtId="44" fontId="17" fillId="3" borderId="7" xfId="1" applyFont="1" applyFill="1" applyBorder="1"/>
    <xf numFmtId="0" fontId="1" fillId="0" borderId="1" xfId="0" applyFont="1" applyBorder="1"/>
    <xf numFmtId="0" fontId="7" fillId="0" borderId="1" xfId="0" applyFont="1" applyBorder="1"/>
    <xf numFmtId="0" fontId="1" fillId="3" borderId="11" xfId="0" applyFont="1" applyFill="1" applyBorder="1"/>
    <xf numFmtId="0" fontId="5" fillId="3" borderId="9" xfId="0" applyFont="1" applyFill="1" applyBorder="1" applyAlignment="1">
      <alignment horizontal="center"/>
    </xf>
    <xf numFmtId="44" fontId="8" fillId="3" borderId="4" xfId="1" applyFont="1" applyFill="1" applyBorder="1"/>
    <xf numFmtId="44" fontId="8" fillId="0" borderId="2" xfId="1" applyFont="1" applyFill="1" applyBorder="1"/>
    <xf numFmtId="14" fontId="31" fillId="0" borderId="2" xfId="0" applyNumberFormat="1" applyFont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/>
    </xf>
    <xf numFmtId="0" fontId="21" fillId="0" borderId="2" xfId="3" applyFont="1" applyBorder="1" applyAlignment="1">
      <alignment horizontal="left" vertical="center"/>
    </xf>
    <xf numFmtId="0" fontId="6" fillId="4" borderId="4" xfId="0" applyFont="1" applyFill="1" applyBorder="1"/>
    <xf numFmtId="0" fontId="26" fillId="0" borderId="5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6" xfId="0" quotePrefix="1" applyFont="1" applyBorder="1" applyAlignment="1">
      <alignment horizontal="center" vertical="center" wrapText="1"/>
    </xf>
    <xf numFmtId="44" fontId="6" fillId="9" borderId="2" xfId="1" applyFont="1" applyFill="1" applyBorder="1"/>
    <xf numFmtId="166" fontId="5" fillId="4" borderId="4" xfId="0" applyNumberFormat="1" applyFont="1" applyFill="1" applyBorder="1" applyAlignment="1">
      <alignment horizontal="center"/>
    </xf>
    <xf numFmtId="166" fontId="5" fillId="3" borderId="56" xfId="0" applyNumberFormat="1" applyFont="1" applyFill="1" applyBorder="1"/>
    <xf numFmtId="0" fontId="4" fillId="3" borderId="57" xfId="0" applyFont="1" applyFill="1" applyBorder="1"/>
    <xf numFmtId="0" fontId="5" fillId="3" borderId="58" xfId="0" applyFont="1" applyFill="1" applyBorder="1" applyAlignment="1">
      <alignment horizontal="center"/>
    </xf>
    <xf numFmtId="0" fontId="4" fillId="3" borderId="59" xfId="0" applyFont="1" applyFill="1" applyBorder="1" applyAlignment="1">
      <alignment horizontal="right"/>
    </xf>
    <xf numFmtId="44" fontId="8" fillId="3" borderId="56" xfId="1" applyFont="1" applyFill="1" applyBorder="1"/>
    <xf numFmtId="166" fontId="5" fillId="3" borderId="56" xfId="0" applyNumberFormat="1" applyFont="1" applyFill="1" applyBorder="1" applyAlignment="1">
      <alignment horizontal="center"/>
    </xf>
    <xf numFmtId="166" fontId="22" fillId="8" borderId="2" xfId="0" applyNumberFormat="1" applyFont="1" applyFill="1" applyBorder="1" applyAlignment="1">
      <alignment horizontal="center"/>
    </xf>
    <xf numFmtId="0" fontId="8" fillId="3" borderId="6" xfId="0" applyFont="1" applyFill="1" applyBorder="1" applyAlignment="1">
      <alignment horizontal="right"/>
    </xf>
    <xf numFmtId="0" fontId="8" fillId="3" borderId="52" xfId="0" applyFont="1" applyFill="1" applyBorder="1" applyAlignment="1">
      <alignment horizontal="right"/>
    </xf>
    <xf numFmtId="0" fontId="8" fillId="3" borderId="23" xfId="0" applyFont="1" applyFill="1" applyBorder="1" applyAlignment="1">
      <alignment horizontal="right"/>
    </xf>
    <xf numFmtId="0" fontId="6" fillId="4" borderId="4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26" fillId="0" borderId="45" xfId="0" applyFont="1" applyBorder="1" applyAlignment="1">
      <alignment horizontal="center" vertical="center" wrapText="1"/>
    </xf>
    <xf numFmtId="49" fontId="26" fillId="0" borderId="2" xfId="0" applyNumberFormat="1" applyFont="1" applyBorder="1" applyAlignment="1">
      <alignment vertical="center" wrapText="1"/>
    </xf>
    <xf numFmtId="49" fontId="26" fillId="0" borderId="1" xfId="0" applyNumberFormat="1" applyFont="1" applyBorder="1" applyAlignment="1">
      <alignment vertical="center" wrapText="1"/>
    </xf>
    <xf numFmtId="0" fontId="8" fillId="6" borderId="17" xfId="0" applyFont="1" applyFill="1" applyBorder="1"/>
    <xf numFmtId="0" fontId="17" fillId="0" borderId="10" xfId="0" applyFont="1" applyBorder="1" applyAlignment="1">
      <alignment vertical="center" wrapText="1"/>
    </xf>
    <xf numFmtId="44" fontId="12" fillId="0" borderId="10" xfId="1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7" fillId="0" borderId="9" xfId="0" applyFont="1" applyBorder="1" applyAlignment="1">
      <alignment vertical="center" wrapText="1"/>
    </xf>
    <xf numFmtId="0" fontId="11" fillId="4" borderId="9" xfId="0" applyFont="1" applyFill="1" applyBorder="1" applyAlignment="1">
      <alignment vertical="center"/>
    </xf>
    <xf numFmtId="14" fontId="27" fillId="2" borderId="41" xfId="0" applyNumberFormat="1" applyFont="1" applyFill="1" applyBorder="1" applyAlignment="1">
      <alignment horizontal="center" vertical="center" wrapText="1"/>
    </xf>
    <xf numFmtId="14" fontId="26" fillId="0" borderId="36" xfId="0" applyNumberFormat="1" applyFont="1" applyBorder="1" applyAlignment="1">
      <alignment horizontal="center" vertical="center" wrapText="1"/>
    </xf>
    <xf numFmtId="14" fontId="26" fillId="0" borderId="8" xfId="0" quotePrefix="1" applyNumberFormat="1" applyFont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164" fontId="26" fillId="0" borderId="8" xfId="0" applyNumberFormat="1" applyFont="1" applyBorder="1" applyAlignment="1">
      <alignment horizontal="left" vertical="center" wrapText="1"/>
    </xf>
    <xf numFmtId="14" fontId="26" fillId="0" borderId="43" xfId="0" quotePrefix="1" applyNumberFormat="1" applyFont="1" applyBorder="1" applyAlignment="1">
      <alignment horizontal="center" vertical="center" wrapText="1"/>
    </xf>
    <xf numFmtId="14" fontId="27" fillId="2" borderId="12" xfId="0" applyNumberFormat="1" applyFont="1" applyFill="1" applyBorder="1" applyAlignment="1">
      <alignment horizontal="center" vertical="center" wrapText="1"/>
    </xf>
    <xf numFmtId="14" fontId="27" fillId="2" borderId="49" xfId="0" applyNumberFormat="1" applyFont="1" applyFill="1" applyBorder="1" applyAlignment="1">
      <alignment horizontal="center" vertical="center" wrapText="1"/>
    </xf>
    <xf numFmtId="14" fontId="27" fillId="2" borderId="45" xfId="0" applyNumberFormat="1" applyFont="1" applyFill="1" applyBorder="1" applyAlignment="1">
      <alignment horizontal="center" vertical="center" wrapText="1"/>
    </xf>
    <xf numFmtId="14" fontId="27" fillId="2" borderId="65" xfId="0" applyNumberFormat="1" applyFont="1" applyFill="1" applyBorder="1" applyAlignment="1">
      <alignment horizontal="center" vertical="center" wrapText="1"/>
    </xf>
    <xf numFmtId="14" fontId="27" fillId="2" borderId="61" xfId="0" applyNumberFormat="1" applyFont="1" applyFill="1" applyBorder="1" applyAlignment="1">
      <alignment horizontal="center" vertical="center" wrapText="1"/>
    </xf>
    <xf numFmtId="14" fontId="27" fillId="2" borderId="22" xfId="0" applyNumberFormat="1" applyFont="1" applyFill="1" applyBorder="1" applyAlignment="1">
      <alignment horizontal="center" vertical="center" wrapText="1"/>
    </xf>
    <xf numFmtId="14" fontId="26" fillId="0" borderId="43" xfId="0" applyNumberFormat="1" applyFont="1" applyBorder="1" applyAlignment="1">
      <alignment horizontal="center" vertical="center" wrapText="1"/>
    </xf>
    <xf numFmtId="0" fontId="39" fillId="8" borderId="14" xfId="0" applyFont="1" applyFill="1" applyBorder="1" applyAlignment="1">
      <alignment horizontal="center" vertical="center" wrapText="1"/>
    </xf>
    <xf numFmtId="14" fontId="40" fillId="8" borderId="18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/>
    <xf numFmtId="0" fontId="18" fillId="0" borderId="2" xfId="0" applyFont="1" applyBorder="1"/>
    <xf numFmtId="0" fontId="1" fillId="0" borderId="2" xfId="0" applyFont="1" applyBorder="1"/>
    <xf numFmtId="0" fontId="7" fillId="11" borderId="2" xfId="0" applyFont="1" applyFill="1" applyBorder="1"/>
    <xf numFmtId="0" fontId="7" fillId="11" borderId="7" xfId="0" applyFont="1" applyFill="1" applyBorder="1"/>
    <xf numFmtId="0" fontId="7" fillId="4" borderId="5" xfId="0" applyFont="1" applyFill="1" applyBorder="1"/>
    <xf numFmtId="166" fontId="5" fillId="8" borderId="5" xfId="0" applyNumberFormat="1" applyFont="1" applyFill="1" applyBorder="1" applyAlignment="1">
      <alignment horizontal="center"/>
    </xf>
    <xf numFmtId="0" fontId="7" fillId="4" borderId="7" xfId="0" applyFont="1" applyFill="1" applyBorder="1"/>
    <xf numFmtId="0" fontId="7" fillId="11" borderId="5" xfId="0" applyFont="1" applyFill="1" applyBorder="1"/>
    <xf numFmtId="166" fontId="5" fillId="4" borderId="35" xfId="0" applyNumberFormat="1" applyFont="1" applyFill="1" applyBorder="1" applyAlignment="1">
      <alignment horizontal="center"/>
    </xf>
    <xf numFmtId="166" fontId="5" fillId="4" borderId="5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12" borderId="24" xfId="0" applyFont="1" applyFill="1" applyBorder="1" applyAlignment="1">
      <alignment horizontal="center" vertical="center"/>
    </xf>
    <xf numFmtId="0" fontId="8" fillId="12" borderId="25" xfId="0" applyFont="1" applyFill="1" applyBorder="1" applyAlignment="1">
      <alignment horizontal="center" vertical="center"/>
    </xf>
    <xf numFmtId="0" fontId="8" fillId="12" borderId="25" xfId="0" applyFont="1" applyFill="1" applyBorder="1" applyAlignment="1">
      <alignment horizontal="center" vertical="center" wrapText="1"/>
    </xf>
    <xf numFmtId="0" fontId="8" fillId="12" borderId="28" xfId="0" applyFont="1" applyFill="1" applyBorder="1" applyAlignment="1">
      <alignment horizontal="center" vertical="center" wrapText="1"/>
    </xf>
    <xf numFmtId="44" fontId="8" fillId="0" borderId="4" xfId="1" applyFont="1" applyFill="1" applyBorder="1"/>
    <xf numFmtId="44" fontId="6" fillId="0" borderId="11" xfId="1" applyFont="1" applyBorder="1"/>
    <xf numFmtId="44" fontId="6" fillId="0" borderId="5" xfId="1" applyFont="1" applyBorder="1"/>
    <xf numFmtId="166" fontId="5" fillId="0" borderId="11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66" fontId="5" fillId="0" borderId="5" xfId="0" applyNumberFormat="1" applyFont="1" applyBorder="1" applyAlignment="1">
      <alignment horizontal="center"/>
    </xf>
    <xf numFmtId="0" fontId="1" fillId="0" borderId="7" xfId="0" applyFont="1" applyBorder="1"/>
    <xf numFmtId="166" fontId="22" fillId="0" borderId="2" xfId="0" applyNumberFormat="1" applyFont="1" applyBorder="1"/>
    <xf numFmtId="0" fontId="22" fillId="0" borderId="2" xfId="0" applyFont="1" applyBorder="1"/>
    <xf numFmtId="0" fontId="22" fillId="0" borderId="2" xfId="0" applyFont="1" applyBorder="1" applyAlignment="1">
      <alignment horizontal="center"/>
    </xf>
    <xf numFmtId="0" fontId="26" fillId="13" borderId="2" xfId="0" applyFont="1" applyFill="1" applyBorder="1" applyAlignment="1">
      <alignment horizontal="center" vertical="center" wrapText="1"/>
    </xf>
    <xf numFmtId="14" fontId="7" fillId="4" borderId="2" xfId="0" applyNumberFormat="1" applyFont="1" applyFill="1" applyBorder="1"/>
    <xf numFmtId="0" fontId="26" fillId="0" borderId="21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14" fillId="6" borderId="16" xfId="0" applyFont="1" applyFill="1" applyBorder="1" applyAlignment="1">
      <alignment horizontal="left"/>
    </xf>
    <xf numFmtId="0" fontId="14" fillId="6" borderId="1" xfId="0" applyFont="1" applyFill="1" applyBorder="1" applyAlignment="1">
      <alignment horizontal="left"/>
    </xf>
    <xf numFmtId="0" fontId="12" fillId="6" borderId="12" xfId="0" applyFont="1" applyFill="1" applyBorder="1" applyAlignment="1">
      <alignment horizontal="left" vertical="center" wrapText="1"/>
    </xf>
    <xf numFmtId="0" fontId="12" fillId="6" borderId="18" xfId="0" applyFont="1" applyFill="1" applyBorder="1" applyAlignment="1">
      <alignment horizontal="left" vertical="center" wrapText="1"/>
    </xf>
    <xf numFmtId="14" fontId="26" fillId="0" borderId="22" xfId="0" quotePrefix="1" applyNumberFormat="1" applyFont="1" applyBorder="1" applyAlignment="1">
      <alignment horizontal="center" vertical="center" wrapText="1"/>
    </xf>
    <xf numFmtId="0" fontId="26" fillId="0" borderId="21" xfId="0" applyFont="1" applyBorder="1" applyAlignment="1">
      <alignment horizontal="left" vertical="center" wrapText="1"/>
    </xf>
    <xf numFmtId="0" fontId="22" fillId="4" borderId="9" xfId="0" applyFont="1" applyFill="1" applyBorder="1" applyAlignment="1">
      <alignment horizontal="center" vertical="center" wrapText="1"/>
    </xf>
    <xf numFmtId="44" fontId="35" fillId="4" borderId="4" xfId="1" applyFont="1" applyFill="1" applyBorder="1"/>
    <xf numFmtId="166" fontId="22" fillId="4" borderId="2" xfId="0" applyNumberFormat="1" applyFont="1" applyFill="1" applyBorder="1" applyAlignment="1">
      <alignment horizontal="center"/>
    </xf>
    <xf numFmtId="0" fontId="26" fillId="0" borderId="35" xfId="0" applyFont="1" applyBorder="1" applyAlignment="1">
      <alignment horizontal="left" vertical="center" wrapText="1"/>
    </xf>
    <xf numFmtId="14" fontId="31" fillId="0" borderId="6" xfId="0" applyNumberFormat="1" applyFont="1" applyBorder="1" applyAlignment="1">
      <alignment horizontal="center" vertical="center" wrapText="1"/>
    </xf>
    <xf numFmtId="164" fontId="26" fillId="0" borderId="5" xfId="0" applyNumberFormat="1" applyFont="1" applyBorder="1" applyAlignment="1">
      <alignment horizontal="left" vertical="center" wrapText="1"/>
    </xf>
    <xf numFmtId="164" fontId="26" fillId="0" borderId="35" xfId="0" applyNumberFormat="1" applyFont="1" applyBorder="1" applyAlignment="1">
      <alignment horizontal="left" vertical="center" wrapText="1"/>
    </xf>
    <xf numFmtId="0" fontId="26" fillId="0" borderId="5" xfId="0" applyFont="1" applyBorder="1" applyAlignment="1">
      <alignment vertical="center" wrapText="1"/>
    </xf>
    <xf numFmtId="164" fontId="26" fillId="0" borderId="31" xfId="0" applyNumberFormat="1" applyFont="1" applyBorder="1" applyAlignment="1">
      <alignment horizontal="left" vertical="center" wrapText="1"/>
    </xf>
    <xf numFmtId="164" fontId="26" fillId="0" borderId="21" xfId="0" applyNumberFormat="1" applyFont="1" applyBorder="1" applyAlignment="1">
      <alignment horizontal="left" vertical="center" wrapText="1"/>
    </xf>
    <xf numFmtId="164" fontId="26" fillId="0" borderId="42" xfId="0" applyNumberFormat="1" applyFont="1" applyBorder="1" applyAlignment="1">
      <alignment horizontal="left" vertical="center" wrapText="1"/>
    </xf>
    <xf numFmtId="165" fontId="26" fillId="0" borderId="5" xfId="0" applyNumberFormat="1" applyFont="1" applyBorder="1" applyAlignment="1">
      <alignment horizontal="left" vertical="center" wrapText="1"/>
    </xf>
    <xf numFmtId="164" fontId="26" fillId="0" borderId="45" xfId="0" applyNumberFormat="1" applyFont="1" applyBorder="1" applyAlignment="1">
      <alignment horizontal="left" vertical="center" wrapText="1"/>
    </xf>
    <xf numFmtId="0" fontId="26" fillId="0" borderId="11" xfId="0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center" wrapText="1"/>
    </xf>
    <xf numFmtId="165" fontId="26" fillId="0" borderId="11" xfId="0" applyNumberFormat="1" applyFont="1" applyBorder="1" applyAlignment="1">
      <alignment horizontal="left" vertical="center" wrapText="1"/>
    </xf>
    <xf numFmtId="164" fontId="26" fillId="0" borderId="11" xfId="0" applyNumberFormat="1" applyFont="1" applyBorder="1" applyAlignment="1">
      <alignment horizontal="left" vertical="center" wrapText="1"/>
    </xf>
    <xf numFmtId="0" fontId="26" fillId="0" borderId="11" xfId="0" applyFont="1" applyBorder="1" applyAlignment="1">
      <alignment vertical="center" wrapText="1"/>
    </xf>
    <xf numFmtId="0" fontId="26" fillId="0" borderId="42" xfId="0" applyFont="1" applyBorder="1" applyAlignment="1">
      <alignment horizontal="left" vertical="center" wrapText="1"/>
    </xf>
    <xf numFmtId="0" fontId="26" fillId="13" borderId="4" xfId="0" applyFont="1" applyFill="1" applyBorder="1" applyAlignment="1">
      <alignment horizontal="center" vertical="center" wrapText="1"/>
    </xf>
    <xf numFmtId="0" fontId="35" fillId="4" borderId="2" xfId="0" applyFont="1" applyFill="1" applyBorder="1"/>
    <xf numFmtId="44" fontId="35" fillId="4" borderId="2" xfId="1" applyFont="1" applyFill="1" applyBorder="1"/>
    <xf numFmtId="9" fontId="7" fillId="0" borderId="0" xfId="0" applyNumberFormat="1" applyFont="1"/>
    <xf numFmtId="0" fontId="7" fillId="7" borderId="2" xfId="0" applyFont="1" applyFill="1" applyBorder="1"/>
    <xf numFmtId="14" fontId="32" fillId="0" borderId="2" xfId="0" quotePrefix="1" applyNumberFormat="1" applyFont="1" applyBorder="1" applyAlignment="1">
      <alignment horizontal="center" vertical="center" wrapText="1"/>
    </xf>
    <xf numFmtId="44" fontId="6" fillId="4" borderId="5" xfId="1" applyFont="1" applyFill="1" applyBorder="1"/>
    <xf numFmtId="0" fontId="35" fillId="7" borderId="2" xfId="0" applyFont="1" applyFill="1" applyBorder="1"/>
    <xf numFmtId="44" fontId="35" fillId="7" borderId="4" xfId="1" applyFont="1" applyFill="1" applyBorder="1"/>
    <xf numFmtId="44" fontId="35" fillId="7" borderId="2" xfId="1" applyFont="1" applyFill="1" applyBorder="1"/>
    <xf numFmtId="14" fontId="7" fillId="7" borderId="2" xfId="0" applyNumberFormat="1" applyFont="1" applyFill="1" applyBorder="1" applyAlignment="1">
      <alignment horizontal="left"/>
    </xf>
    <xf numFmtId="14" fontId="27" fillId="2" borderId="18" xfId="0" applyNumberFormat="1" applyFont="1" applyFill="1" applyBorder="1" applyAlignment="1">
      <alignment horizontal="center" vertical="center" wrapText="1"/>
    </xf>
    <xf numFmtId="14" fontId="26" fillId="0" borderId="5" xfId="0" quotePrefix="1" applyNumberFormat="1" applyFont="1" applyBorder="1" applyAlignment="1">
      <alignment horizontal="center" vertical="center" wrapText="1"/>
    </xf>
    <xf numFmtId="14" fontId="26" fillId="0" borderId="42" xfId="0" quotePrefix="1" applyNumberFormat="1" applyFont="1" applyBorder="1" applyAlignment="1">
      <alignment horizontal="center" vertical="center" wrapText="1"/>
    </xf>
    <xf numFmtId="14" fontId="26" fillId="0" borderId="21" xfId="0" quotePrefix="1" applyNumberFormat="1" applyFont="1" applyBorder="1" applyAlignment="1">
      <alignment horizontal="center" vertical="center" wrapText="1"/>
    </xf>
    <xf numFmtId="14" fontId="26" fillId="0" borderId="11" xfId="0" quotePrefix="1" applyNumberFormat="1" applyFont="1" applyBorder="1" applyAlignment="1">
      <alignment horizontal="center" vertical="center" wrapText="1"/>
    </xf>
    <xf numFmtId="14" fontId="27" fillId="2" borderId="33" xfId="0" applyNumberFormat="1" applyFont="1" applyFill="1" applyBorder="1" applyAlignment="1">
      <alignment horizontal="center" vertical="center" wrapText="1"/>
    </xf>
    <xf numFmtId="14" fontId="26" fillId="4" borderId="5" xfId="0" quotePrefix="1" applyNumberFormat="1" applyFont="1" applyFill="1" applyBorder="1" applyAlignment="1">
      <alignment horizontal="center" vertical="center" wrapText="1"/>
    </xf>
    <xf numFmtId="14" fontId="26" fillId="11" borderId="21" xfId="0" quotePrefix="1" applyNumberFormat="1" applyFont="1" applyFill="1" applyBorder="1" applyAlignment="1">
      <alignment horizontal="center" vertical="center" wrapText="1"/>
    </xf>
    <xf numFmtId="14" fontId="26" fillId="11" borderId="11" xfId="0" quotePrefix="1" applyNumberFormat="1" applyFont="1" applyFill="1" applyBorder="1" applyAlignment="1">
      <alignment horizontal="center" vertical="center" wrapText="1"/>
    </xf>
    <xf numFmtId="14" fontId="26" fillId="11" borderId="5" xfId="0" quotePrefix="1" applyNumberFormat="1" applyFont="1" applyFill="1" applyBorder="1" applyAlignment="1">
      <alignment horizontal="center" vertical="center" wrapText="1"/>
    </xf>
    <xf numFmtId="14" fontId="26" fillId="4" borderId="11" xfId="0" quotePrefix="1" applyNumberFormat="1" applyFont="1" applyFill="1" applyBorder="1" applyAlignment="1">
      <alignment horizontal="center" vertical="center" wrapText="1"/>
    </xf>
    <xf numFmtId="14" fontId="26" fillId="4" borderId="21" xfId="0" quotePrefix="1" applyNumberFormat="1" applyFont="1" applyFill="1" applyBorder="1" applyAlignment="1">
      <alignment horizontal="center" vertical="center" wrapText="1"/>
    </xf>
    <xf numFmtId="14" fontId="26" fillId="5" borderId="35" xfId="0" quotePrefix="1" applyNumberFormat="1" applyFont="1" applyFill="1" applyBorder="1" applyAlignment="1">
      <alignment horizontal="center" vertical="center" wrapText="1"/>
    </xf>
    <xf numFmtId="14" fontId="26" fillId="5" borderId="5" xfId="0" quotePrefix="1" applyNumberFormat="1" applyFont="1" applyFill="1" applyBorder="1" applyAlignment="1">
      <alignment horizontal="center" vertical="center" wrapText="1"/>
    </xf>
    <xf numFmtId="14" fontId="26" fillId="5" borderId="11" xfId="0" quotePrefix="1" applyNumberFormat="1" applyFont="1" applyFill="1" applyBorder="1" applyAlignment="1">
      <alignment horizontal="center" vertical="center" wrapText="1"/>
    </xf>
    <xf numFmtId="14" fontId="26" fillId="5" borderId="42" xfId="0" quotePrefix="1" applyNumberFormat="1" applyFont="1" applyFill="1" applyBorder="1" applyAlignment="1">
      <alignment horizontal="center" vertical="center" wrapText="1"/>
    </xf>
    <xf numFmtId="14" fontId="26" fillId="5" borderId="21" xfId="0" quotePrefix="1" applyNumberFormat="1" applyFont="1" applyFill="1" applyBorder="1" applyAlignment="1">
      <alignment horizontal="center" vertical="center" wrapText="1"/>
    </xf>
    <xf numFmtId="14" fontId="26" fillId="11" borderId="35" xfId="0" quotePrefix="1" applyNumberFormat="1" applyFont="1" applyFill="1" applyBorder="1" applyAlignment="1">
      <alignment horizontal="center" vertical="center" wrapText="1"/>
    </xf>
    <xf numFmtId="14" fontId="26" fillId="7" borderId="39" xfId="0" applyNumberFormat="1" applyFont="1" applyFill="1" applyBorder="1" applyAlignment="1">
      <alignment horizontal="center" vertical="center" wrapText="1"/>
    </xf>
    <xf numFmtId="0" fontId="43" fillId="0" borderId="0" xfId="10" applyBorder="1"/>
    <xf numFmtId="0" fontId="43" fillId="0" borderId="0" xfId="10" applyBorder="1" applyAlignment="1">
      <alignment horizontal="center" vertical="center"/>
    </xf>
    <xf numFmtId="14" fontId="43" fillId="0" borderId="0" xfId="10" applyNumberFormat="1" applyBorder="1" applyAlignment="1">
      <alignment horizontal="center" vertical="center"/>
    </xf>
    <xf numFmtId="44" fontId="8" fillId="3" borderId="35" xfId="1" applyFont="1" applyFill="1" applyBorder="1" applyAlignment="1">
      <alignment horizontal="center"/>
    </xf>
    <xf numFmtId="44" fontId="8" fillId="3" borderId="52" xfId="1" applyFont="1" applyFill="1" applyBorder="1" applyAlignment="1">
      <alignment horizontal="center"/>
    </xf>
    <xf numFmtId="44" fontId="35" fillId="4" borderId="5" xfId="1" applyFont="1" applyFill="1" applyBorder="1" applyAlignment="1">
      <alignment horizontal="left"/>
    </xf>
    <xf numFmtId="44" fontId="35" fillId="4" borderId="10" xfId="1" applyFont="1" applyFill="1" applyBorder="1" applyAlignment="1">
      <alignment horizontal="left"/>
    </xf>
    <xf numFmtId="44" fontId="35" fillId="4" borderId="6" xfId="1" applyFont="1" applyFill="1" applyBorder="1" applyAlignment="1">
      <alignment horizontal="left"/>
    </xf>
    <xf numFmtId="44" fontId="8" fillId="3" borderId="5" xfId="1" applyFont="1" applyFill="1" applyBorder="1" applyAlignment="1">
      <alignment horizontal="center"/>
    </xf>
    <xf numFmtId="44" fontId="8" fillId="3" borderId="10" xfId="1" applyFont="1" applyFill="1" applyBorder="1" applyAlignment="1">
      <alignment horizontal="center"/>
    </xf>
    <xf numFmtId="44" fontId="8" fillId="3" borderId="6" xfId="1" applyFont="1" applyFill="1" applyBorder="1" applyAlignment="1">
      <alignment horizontal="center"/>
    </xf>
    <xf numFmtId="0" fontId="7" fillId="11" borderId="7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7" fillId="11" borderId="43" xfId="0" applyFont="1" applyFill="1" applyBorder="1" applyAlignment="1">
      <alignment horizontal="center"/>
    </xf>
    <xf numFmtId="0" fontId="7" fillId="11" borderId="23" xfId="0" applyFont="1" applyFill="1" applyBorder="1" applyAlignment="1">
      <alignment horizontal="center"/>
    </xf>
    <xf numFmtId="0" fontId="7" fillId="11" borderId="35" xfId="0" applyFont="1" applyFill="1" applyBorder="1" applyAlignment="1">
      <alignment horizontal="center"/>
    </xf>
    <xf numFmtId="0" fontId="7" fillId="11" borderId="42" xfId="0" applyFont="1" applyFill="1" applyBorder="1" applyAlignment="1">
      <alignment horizontal="center"/>
    </xf>
    <xf numFmtId="0" fontId="7" fillId="11" borderId="11" xfId="0" applyFont="1" applyFill="1" applyBorder="1" applyAlignment="1">
      <alignment horizontal="center"/>
    </xf>
    <xf numFmtId="0" fontId="7" fillId="11" borderId="4" xfId="0" applyFont="1" applyFill="1" applyBorder="1" applyAlignment="1">
      <alignment horizontal="center"/>
    </xf>
    <xf numFmtId="0" fontId="7" fillId="11" borderId="36" xfId="0" applyFont="1" applyFill="1" applyBorder="1" applyAlignment="1">
      <alignment horizontal="center"/>
    </xf>
    <xf numFmtId="0" fontId="7" fillId="11" borderId="5" xfId="0" applyFont="1" applyFill="1" applyBorder="1" applyAlignment="1">
      <alignment horizontal="center"/>
    </xf>
    <xf numFmtId="44" fontId="35" fillId="7" borderId="5" xfId="1" applyFont="1" applyFill="1" applyBorder="1" applyAlignment="1">
      <alignment horizontal="left"/>
    </xf>
    <xf numFmtId="44" fontId="35" fillId="7" borderId="10" xfId="1" applyFont="1" applyFill="1" applyBorder="1" applyAlignment="1">
      <alignment horizontal="left"/>
    </xf>
    <xf numFmtId="44" fontId="35" fillId="7" borderId="6" xfId="1" applyFont="1" applyFill="1" applyBorder="1" applyAlignment="1">
      <alignment horizontal="left"/>
    </xf>
    <xf numFmtId="0" fontId="41" fillId="12" borderId="66" xfId="0" applyFont="1" applyFill="1" applyBorder="1" applyAlignment="1">
      <alignment horizontal="center" vertical="center"/>
    </xf>
    <xf numFmtId="0" fontId="41" fillId="12" borderId="50" xfId="0" applyFont="1" applyFill="1" applyBorder="1" applyAlignment="1">
      <alignment horizontal="center" vertical="center"/>
    </xf>
    <xf numFmtId="0" fontId="41" fillId="12" borderId="51" xfId="0" applyFont="1" applyFill="1" applyBorder="1" applyAlignment="1">
      <alignment horizontal="center" vertical="center"/>
    </xf>
    <xf numFmtId="0" fontId="27" fillId="2" borderId="47" xfId="0" applyFont="1" applyFill="1" applyBorder="1" applyAlignment="1">
      <alignment horizontal="center" vertical="center" wrapText="1"/>
    </xf>
    <xf numFmtId="0" fontId="27" fillId="2" borderId="44" xfId="0" applyFont="1" applyFill="1" applyBorder="1" applyAlignment="1">
      <alignment horizontal="center" vertical="center" wrapText="1"/>
    </xf>
    <xf numFmtId="14" fontId="27" fillId="2" borderId="14" xfId="0" applyNumberFormat="1" applyFont="1" applyFill="1" applyBorder="1" applyAlignment="1">
      <alignment horizontal="center" vertical="center" wrapText="1"/>
    </xf>
    <xf numFmtId="14" fontId="27" fillId="2" borderId="18" xfId="0" applyNumberFormat="1" applyFont="1" applyFill="1" applyBorder="1" applyAlignment="1">
      <alignment horizontal="center" vertical="center" wrapText="1"/>
    </xf>
    <xf numFmtId="0" fontId="27" fillId="2" borderId="54" xfId="0" applyFont="1" applyFill="1" applyBorder="1" applyAlignment="1">
      <alignment horizontal="center" vertical="center" wrapText="1"/>
    </xf>
    <xf numFmtId="0" fontId="27" fillId="2" borderId="45" xfId="0" applyFont="1" applyFill="1" applyBorder="1" applyAlignment="1">
      <alignment horizontal="center" vertical="center" wrapText="1"/>
    </xf>
    <xf numFmtId="14" fontId="27" fillId="2" borderId="62" xfId="0" applyNumberFormat="1" applyFont="1" applyFill="1" applyBorder="1" applyAlignment="1">
      <alignment horizontal="center" vertical="center" wrapText="1"/>
    </xf>
    <xf numFmtId="14" fontId="27" fillId="2" borderId="53" xfId="0" applyNumberFormat="1" applyFont="1" applyFill="1" applyBorder="1" applyAlignment="1">
      <alignment horizontal="center" vertical="center" wrapText="1"/>
    </xf>
    <xf numFmtId="14" fontId="27" fillId="2" borderId="63" xfId="0" applyNumberFormat="1" applyFont="1" applyFill="1" applyBorder="1" applyAlignment="1">
      <alignment horizontal="center" vertical="center" wrapText="1"/>
    </xf>
    <xf numFmtId="14" fontId="27" fillId="2" borderId="47" xfId="0" applyNumberFormat="1" applyFont="1" applyFill="1" applyBorder="1" applyAlignment="1">
      <alignment horizontal="center" vertical="center" wrapText="1"/>
    </xf>
    <xf numFmtId="14" fontId="27" fillId="2" borderId="44" xfId="0" applyNumberFormat="1" applyFont="1" applyFill="1" applyBorder="1" applyAlignment="1">
      <alignment horizontal="center" vertical="center" wrapText="1"/>
    </xf>
    <xf numFmtId="0" fontId="27" fillId="2" borderId="60" xfId="0" applyFont="1" applyFill="1" applyBorder="1" applyAlignment="1">
      <alignment horizontal="center" vertical="center" wrapText="1"/>
    </xf>
    <xf numFmtId="0" fontId="27" fillId="2" borderId="61" xfId="0" applyFont="1" applyFill="1" applyBorder="1" applyAlignment="1">
      <alignment horizontal="center" vertical="center" wrapText="1"/>
    </xf>
    <xf numFmtId="14" fontId="27" fillId="2" borderId="32" xfId="0" applyNumberFormat="1" applyFont="1" applyFill="1" applyBorder="1" applyAlignment="1">
      <alignment horizontal="center" vertical="center" wrapText="1"/>
    </xf>
    <xf numFmtId="14" fontId="27" fillId="2" borderId="64" xfId="0" applyNumberFormat="1" applyFont="1" applyFill="1" applyBorder="1" applyAlignment="1">
      <alignment horizontal="center" vertical="center" wrapText="1"/>
    </xf>
    <xf numFmtId="14" fontId="27" fillId="2" borderId="31" xfId="0" applyNumberFormat="1" applyFont="1" applyFill="1" applyBorder="1" applyAlignment="1">
      <alignment horizontal="center" vertical="center" wrapText="1"/>
    </xf>
    <xf numFmtId="14" fontId="27" fillId="2" borderId="29" xfId="0" applyNumberFormat="1" applyFont="1" applyFill="1" applyBorder="1" applyAlignment="1">
      <alignment horizontal="center" vertical="center" wrapText="1"/>
    </xf>
    <xf numFmtId="49" fontId="27" fillId="2" borderId="31" xfId="0" applyNumberFormat="1" applyFont="1" applyFill="1" applyBorder="1" applyAlignment="1">
      <alignment horizontal="center" vertical="center" wrapText="1"/>
    </xf>
    <xf numFmtId="49" fontId="27" fillId="2" borderId="53" xfId="0" applyNumberFormat="1" applyFont="1" applyFill="1" applyBorder="1" applyAlignment="1">
      <alignment horizontal="center" vertical="center" wrapText="1"/>
    </xf>
    <xf numFmtId="49" fontId="27" fillId="2" borderId="32" xfId="0" applyNumberFormat="1" applyFont="1" applyFill="1" applyBorder="1" applyAlignment="1">
      <alignment horizontal="center" vertical="center" wrapText="1"/>
    </xf>
    <xf numFmtId="49" fontId="32" fillId="2" borderId="2" xfId="0" applyNumberFormat="1" applyFont="1" applyFill="1" applyBorder="1" applyAlignment="1">
      <alignment horizontal="center" vertical="center" wrapText="1"/>
    </xf>
    <xf numFmtId="49" fontId="32" fillId="2" borderId="20" xfId="0" applyNumberFormat="1" applyFont="1" applyFill="1" applyBorder="1" applyAlignment="1">
      <alignment horizontal="center" vertical="center" wrapText="1"/>
    </xf>
    <xf numFmtId="0" fontId="27" fillId="2" borderId="55" xfId="0" applyFont="1" applyFill="1" applyBorder="1" applyAlignment="1">
      <alignment horizontal="center" vertical="center" wrapText="1"/>
    </xf>
    <xf numFmtId="0" fontId="27" fillId="2" borderId="46" xfId="0" applyFont="1" applyFill="1" applyBorder="1" applyAlignment="1">
      <alignment horizontal="center" vertical="center" wrapText="1"/>
    </xf>
    <xf numFmtId="0" fontId="27" fillId="2" borderId="48" xfId="0" applyFont="1" applyFill="1" applyBorder="1" applyAlignment="1">
      <alignment horizontal="center" vertical="center" wrapText="1"/>
    </xf>
    <xf numFmtId="0" fontId="27" fillId="2" borderId="49" xfId="0" applyFont="1" applyFill="1" applyBorder="1" applyAlignment="1">
      <alignment horizontal="center" vertical="center" wrapText="1"/>
    </xf>
    <xf numFmtId="14" fontId="27" fillId="2" borderId="42" xfId="0" applyNumberFormat="1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4" fillId="6" borderId="19" xfId="0" applyFont="1" applyFill="1" applyBorder="1" applyAlignment="1">
      <alignment horizontal="left"/>
    </xf>
    <xf numFmtId="0" fontId="14" fillId="6" borderId="14" xfId="0" applyFont="1" applyFill="1" applyBorder="1" applyAlignment="1">
      <alignment horizontal="left"/>
    </xf>
    <xf numFmtId="0" fontId="14" fillId="6" borderId="0" xfId="0" applyFont="1" applyFill="1" applyAlignment="1">
      <alignment horizontal="left" vertical="center"/>
    </xf>
    <xf numFmtId="0" fontId="14" fillId="6" borderId="16" xfId="0" applyFont="1" applyFill="1" applyBorder="1" applyAlignment="1">
      <alignment horizontal="left" vertical="center"/>
    </xf>
    <xf numFmtId="0" fontId="14" fillId="6" borderId="17" xfId="0" applyFont="1" applyFill="1" applyBorder="1" applyAlignment="1">
      <alignment horizontal="left"/>
    </xf>
    <xf numFmtId="0" fontId="14" fillId="6" borderId="18" xfId="0" applyFont="1" applyFill="1" applyBorder="1" applyAlignment="1">
      <alignment horizontal="left"/>
    </xf>
    <xf numFmtId="0" fontId="14" fillId="6" borderId="15" xfId="0" applyFont="1" applyFill="1" applyBorder="1" applyAlignment="1">
      <alignment horizontal="left"/>
    </xf>
    <xf numFmtId="0" fontId="14" fillId="6" borderId="16" xfId="0" applyFont="1" applyFill="1" applyBorder="1" applyAlignment="1">
      <alignment horizontal="left"/>
    </xf>
    <xf numFmtId="0" fontId="37" fillId="6" borderId="13" xfId="0" applyFont="1" applyFill="1" applyBorder="1" applyAlignment="1">
      <alignment horizontal="left" vertical="center"/>
    </xf>
    <xf numFmtId="0" fontId="9" fillId="6" borderId="14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/>
    </xf>
    <xf numFmtId="14" fontId="22" fillId="0" borderId="26" xfId="0" applyNumberFormat="1" applyFont="1" applyBorder="1" applyAlignment="1">
      <alignment horizontal="center" vertical="center" wrapText="1"/>
    </xf>
    <xf numFmtId="14" fontId="22" fillId="0" borderId="50" xfId="0" applyNumberFormat="1" applyFont="1" applyBorder="1" applyAlignment="1">
      <alignment horizontal="center" vertical="center" wrapText="1"/>
    </xf>
    <xf numFmtId="14" fontId="22" fillId="0" borderId="51" xfId="0" applyNumberFormat="1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4" fontId="26" fillId="0" borderId="30" xfId="0" quotePrefix="1" applyNumberFormat="1" applyFont="1" applyBorder="1" applyAlignment="1">
      <alignment horizontal="center" vertical="center" wrapText="1"/>
    </xf>
    <xf numFmtId="164" fontId="26" fillId="0" borderId="30" xfId="0" applyNumberFormat="1" applyFont="1" applyBorder="1" applyAlignment="1">
      <alignment horizontal="center" vertical="center" wrapText="1"/>
    </xf>
    <xf numFmtId="0" fontId="26" fillId="0" borderId="47" xfId="0" applyFont="1" applyBorder="1" applyAlignment="1">
      <alignment vertical="center" wrapText="1"/>
    </xf>
    <xf numFmtId="0" fontId="26" fillId="0" borderId="47" xfId="0" applyFont="1" applyBorder="1" applyAlignment="1">
      <alignment horizontal="center" vertical="center" wrapText="1"/>
    </xf>
    <xf numFmtId="164" fontId="26" fillId="0" borderId="54" xfId="0" applyNumberFormat="1" applyFont="1" applyBorder="1" applyAlignment="1">
      <alignment horizontal="left" vertical="center" wrapText="1"/>
    </xf>
    <xf numFmtId="14" fontId="26" fillId="0" borderId="32" xfId="0" applyNumberFormat="1" applyFont="1" applyBorder="1" applyAlignment="1">
      <alignment horizontal="center" vertical="center" wrapText="1"/>
    </xf>
    <xf numFmtId="14" fontId="26" fillId="4" borderId="31" xfId="0" quotePrefix="1" applyNumberFormat="1" applyFont="1" applyFill="1" applyBorder="1" applyAlignment="1">
      <alignment horizontal="center" vertical="center" wrapText="1"/>
    </xf>
    <xf numFmtId="14" fontId="26" fillId="0" borderId="31" xfId="0" quotePrefix="1" applyNumberFormat="1" applyFont="1" applyBorder="1" applyAlignment="1">
      <alignment horizontal="center" vertical="center" wrapText="1"/>
    </xf>
    <xf numFmtId="14" fontId="26" fillId="5" borderId="31" xfId="0" quotePrefix="1" applyNumberFormat="1" applyFont="1" applyFill="1" applyBorder="1" applyAlignment="1">
      <alignment horizontal="center" vertical="center" wrapText="1"/>
    </xf>
    <xf numFmtId="14" fontId="26" fillId="11" borderId="31" xfId="0" quotePrefix="1" applyNumberFormat="1" applyFont="1" applyFill="1" applyBorder="1" applyAlignment="1">
      <alignment horizontal="center" vertical="center" wrapText="1"/>
    </xf>
    <xf numFmtId="14" fontId="26" fillId="0" borderId="64" xfId="0" applyNumberFormat="1" applyFont="1" applyBorder="1" applyAlignment="1">
      <alignment horizontal="center" vertical="center" wrapText="1"/>
    </xf>
    <xf numFmtId="14" fontId="26" fillId="0" borderId="20" xfId="0" applyNumberFormat="1" applyFont="1" applyBorder="1" applyAlignment="1">
      <alignment horizontal="left" vertical="center" wrapText="1"/>
    </xf>
  </cellXfs>
  <cellStyles count="11">
    <cellStyle name="Collegamento ipertestuale" xfId="3" builtinId="8"/>
    <cellStyle name="Collegamento ipertestuale 2" xfId="8" xr:uid="{B6FAAD7F-E050-4F61-8F1B-524CBBC021E4}"/>
    <cellStyle name="Normale" xfId="0" builtinId="0"/>
    <cellStyle name="Normale 2" xfId="2" xr:uid="{2E63D7AA-44F9-496B-AAC5-2BD3CD6289BE}"/>
    <cellStyle name="Normale 3" xfId="4" xr:uid="{1AD56214-9110-4B2D-971F-A942072B77EA}"/>
    <cellStyle name="Normale 3 2" xfId="9" xr:uid="{C42B35FA-7164-4EA8-A90A-583A039B3042}"/>
    <cellStyle name="Normale 4" xfId="5" xr:uid="{589359BC-7326-4BE2-A492-39136036C036}"/>
    <cellStyle name="Normale 5" xfId="10" xr:uid="{F57A67AC-D71C-453C-9334-5A7E74FD6130}"/>
    <cellStyle name="Percentuale 2" xfId="7" xr:uid="{85D4C427-BA2E-46C0-8170-EB4AD6C84E39}"/>
    <cellStyle name="Valuta" xfId="1" builtinId="4"/>
    <cellStyle name="Valuta 2" xfId="6" xr:uid="{C0B51798-EC89-45B2-B4DF-9E3B3A45E0AE}"/>
  </cellStyles>
  <dxfs count="122">
    <dxf>
      <font>
        <color rgb="FFFF0000"/>
      </font>
    </dxf>
    <dxf>
      <fill>
        <patternFill>
          <bgColor rgb="FFFFFF99"/>
        </patternFill>
      </fill>
    </dxf>
    <dxf>
      <font>
        <color rgb="FFFF000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CCFF99"/>
        </patternFill>
      </fill>
    </dxf>
    <dxf>
      <fill>
        <patternFill patternType="none">
          <bgColor auto="1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ill>
        <patternFill>
          <bgColor rgb="FFFFCCCC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ill>
        <patternFill>
          <bgColor rgb="FFFFCCCC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>
          <bgColor theme="0"/>
        </patternFill>
      </fill>
    </dxf>
    <dxf>
      <fill>
        <patternFill>
          <bgColor rgb="FFFFCCCC"/>
        </patternFill>
      </fill>
    </dxf>
    <dxf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/>
        </patternFill>
      </fill>
    </dxf>
    <dxf>
      <fill>
        <patternFill>
          <bgColor theme="7" tint="0.59996337778862885"/>
        </patternFill>
      </fill>
    </dxf>
    <dxf>
      <font>
        <color rgb="FFFF0000"/>
      </font>
    </dxf>
    <dxf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ill>
        <patternFill>
          <bgColor theme="0"/>
        </patternFill>
      </fill>
    </dxf>
    <dxf>
      <fill>
        <patternFill>
          <bgColor rgb="FFFFCCCC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>
          <bgColor rgb="FFFFCCCC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rgb="FFFFCCCC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rgb="FFFFCCCC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rgb="FFFFCCCC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7" tint="0.59996337778862885"/>
        </patternFill>
      </fill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rgb="FFFFCCCC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rgb="FFFFCCCC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CCCC"/>
        </patternFill>
      </fill>
    </dxf>
    <dxf>
      <fill>
        <patternFill>
          <bgColor rgb="FFCCFF99"/>
        </patternFill>
      </fill>
    </dxf>
    <dxf>
      <fill>
        <patternFill>
          <bgColor rgb="FFFFFF99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CCFF99"/>
      <color rgb="FFFFCCCC"/>
      <color rgb="FFFF9999"/>
      <color rgb="FFFDFF9F"/>
      <color rgb="FFFFFF99"/>
      <color rgb="FFFFCC99"/>
      <color rgb="FFFFFFFF"/>
      <color rgb="FFFFE285"/>
      <color rgb="FFFFFFB9"/>
      <color rgb="FFFFEA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ualizza1" id="{E9FBF64E-34C1-4C42-9F63-B569BBE2DA5A}"/>
</namedSheetView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mailto:aiellogabriele1177@gmail.com" TargetMode="External"/><Relationship Id="rId7" Type="http://schemas.openxmlformats.org/officeDocument/2006/relationships/hyperlink" Target="mailto:aiellogabriele1177@gmail.com" TargetMode="External"/><Relationship Id="rId2" Type="http://schemas.openxmlformats.org/officeDocument/2006/relationships/hyperlink" Target="mailto:aiellogabriele1177@gmail.com" TargetMode="External"/><Relationship Id="rId1" Type="http://schemas.openxmlformats.org/officeDocument/2006/relationships/hyperlink" Target="mailto:aiellogabriele1177@gmail.com" TargetMode="External"/><Relationship Id="rId6" Type="http://schemas.openxmlformats.org/officeDocument/2006/relationships/hyperlink" Target="mailto:aiellogabriele1177@gmail.com" TargetMode="External"/><Relationship Id="rId5" Type="http://schemas.openxmlformats.org/officeDocument/2006/relationships/hyperlink" Target="mailto:aiellogabriele1177@gmail.com" TargetMode="External"/><Relationship Id="rId4" Type="http://schemas.openxmlformats.org/officeDocument/2006/relationships/hyperlink" Target="mailto:aiellogabriele117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B0BE"/>
    <pageSetUpPr fitToPage="1"/>
  </sheetPr>
  <dimension ref="A1:BQ50"/>
  <sheetViews>
    <sheetView zoomScaleNormal="100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F47" sqref="F47"/>
    </sheetView>
  </sheetViews>
  <sheetFormatPr defaultColWidth="11.09765625" defaultRowHeight="14.1" customHeight="1"/>
  <cols>
    <col min="1" max="1" width="6.59765625" style="81" customWidth="1"/>
    <col min="2" max="2" width="9.8984375" style="81" customWidth="1"/>
    <col min="3" max="3" width="8.3984375" style="81" customWidth="1"/>
    <col min="4" max="5" width="8.59765625" style="81" customWidth="1"/>
    <col min="6" max="6" width="30" style="81" bestFit="1" customWidth="1"/>
    <col min="7" max="7" width="9.8984375" style="90" customWidth="1"/>
    <col min="8" max="8" width="7" style="90" customWidth="1"/>
    <col min="9" max="9" width="9.8984375" style="90" customWidth="1"/>
    <col min="10" max="11" width="13.09765625" style="90" customWidth="1"/>
    <col min="12" max="12" width="9.8984375" style="82" customWidth="1"/>
    <col min="13" max="13" width="9.8984375" style="83" customWidth="1"/>
    <col min="14" max="14" width="9.8984375" style="84" customWidth="1"/>
    <col min="15" max="15" width="17.59765625" style="89" customWidth="1"/>
    <col min="16" max="16" width="17.59765625" style="81" customWidth="1"/>
    <col min="17" max="19" width="9.8984375" style="83" customWidth="1"/>
    <col min="20" max="20" width="9.8984375" style="81" customWidth="1"/>
    <col min="21" max="21" width="30.5" style="91" customWidth="1"/>
    <col min="22" max="22" width="23" style="81" customWidth="1"/>
    <col min="23" max="23" width="9.8984375" style="81" customWidth="1"/>
    <col min="24" max="24" width="38.59765625" style="223" customWidth="1"/>
    <col min="25" max="27" width="11.09765625" style="81" customWidth="1"/>
    <col min="28" max="28" width="11.09765625" style="84" customWidth="1"/>
    <col min="29" max="29" width="16.5" style="90" customWidth="1"/>
    <col min="30" max="30" width="11.09765625" style="81" customWidth="1"/>
    <col min="31" max="31" width="23.3984375" style="84" customWidth="1"/>
    <col min="32" max="32" width="9.8984375" style="84" customWidth="1"/>
    <col min="33" max="33" width="9.8984375" style="81" customWidth="1"/>
    <col min="34" max="34" width="12.09765625" style="90" customWidth="1"/>
    <col min="35" max="35" width="6.8984375" style="81" customWidth="1"/>
    <col min="36" max="36" width="9.8984375" style="90" customWidth="1"/>
    <col min="37" max="37" width="9.09765625" style="81" customWidth="1"/>
    <col min="38" max="38" width="8.5" style="81" customWidth="1"/>
    <col min="39" max="39" width="9.8984375" style="83" customWidth="1"/>
    <col min="40" max="40" width="15.5" style="81" customWidth="1"/>
    <col min="41" max="43" width="6.59765625" style="81" customWidth="1"/>
    <col min="44" max="44" width="26.09765625" style="89" customWidth="1"/>
    <col min="45" max="45" width="40.09765625" style="81" customWidth="1"/>
    <col min="46" max="46" width="8.59765625" style="81" customWidth="1"/>
    <col min="47" max="47" width="12.8984375" style="74" customWidth="1"/>
    <col min="48" max="48" width="11.8984375" style="74" customWidth="1"/>
    <col min="49" max="49" width="13.59765625" style="74" customWidth="1"/>
    <col min="50" max="50" width="12.09765625" style="74" customWidth="1"/>
    <col min="51" max="51" width="14.09765625" style="74" customWidth="1"/>
    <col min="52" max="52" width="12.59765625" style="74" customWidth="1"/>
    <col min="53" max="53" width="11.8984375" style="74" customWidth="1"/>
    <col min="54" max="54" width="15.8984375" style="58" customWidth="1"/>
    <col min="55" max="55" width="11.8984375" style="74" customWidth="1"/>
    <col min="56" max="56" width="11.09765625" style="74" customWidth="1"/>
    <col min="57" max="57" width="11" style="74" customWidth="1"/>
    <col min="58" max="59" width="10.8984375" style="74" customWidth="1"/>
    <col min="60" max="61" width="11.8984375" style="74" customWidth="1"/>
    <col min="62" max="62" width="7.59765625" style="74" customWidth="1"/>
    <col min="63" max="63" width="11.8984375" style="74" customWidth="1"/>
    <col min="64" max="64" width="12.19921875" style="74" customWidth="1"/>
    <col min="65" max="65" width="8.69921875" style="74" customWidth="1"/>
    <col min="66" max="67" width="12.19921875" style="74" customWidth="1"/>
    <col min="68" max="68" width="11.8984375" style="74" customWidth="1"/>
    <col min="69" max="69" width="16" style="81" customWidth="1"/>
    <col min="70" max="16384" width="11.09765625" style="81"/>
  </cols>
  <sheetData>
    <row r="1" spans="1:69" ht="38.4" customHeight="1">
      <c r="A1" s="381" t="s">
        <v>0</v>
      </c>
      <c r="B1" s="374" t="s">
        <v>1</v>
      </c>
      <c r="C1" s="375"/>
      <c r="D1" s="376"/>
      <c r="E1" s="357" t="s">
        <v>426</v>
      </c>
      <c r="F1" s="357" t="s">
        <v>2</v>
      </c>
      <c r="G1" s="361" t="s">
        <v>42</v>
      </c>
      <c r="H1" s="357" t="s">
        <v>3</v>
      </c>
      <c r="I1" s="357" t="s">
        <v>4</v>
      </c>
      <c r="J1" s="357" t="s">
        <v>5</v>
      </c>
      <c r="K1" s="357" t="s">
        <v>6</v>
      </c>
      <c r="L1" s="366" t="s">
        <v>7</v>
      </c>
      <c r="M1" s="366" t="s">
        <v>8</v>
      </c>
      <c r="N1" s="366" t="s">
        <v>9</v>
      </c>
      <c r="O1" s="357" t="s">
        <v>10</v>
      </c>
      <c r="P1" s="357" t="s">
        <v>11</v>
      </c>
      <c r="Q1" s="366" t="s">
        <v>12</v>
      </c>
      <c r="R1" s="366" t="s">
        <v>13</v>
      </c>
      <c r="S1" s="366" t="s">
        <v>14</v>
      </c>
      <c r="T1" s="357" t="s">
        <v>15</v>
      </c>
      <c r="U1" s="357" t="s">
        <v>16</v>
      </c>
      <c r="V1" s="357" t="s">
        <v>17</v>
      </c>
      <c r="W1" s="361" t="s">
        <v>18</v>
      </c>
      <c r="X1" s="377" t="s">
        <v>19</v>
      </c>
      <c r="Y1" s="379" t="s">
        <v>20</v>
      </c>
      <c r="Z1" s="357" t="s">
        <v>21</v>
      </c>
      <c r="AA1" s="357" t="s">
        <v>22</v>
      </c>
      <c r="AB1" s="366" t="s">
        <v>23</v>
      </c>
      <c r="AC1" s="357" t="s">
        <v>24</v>
      </c>
      <c r="AD1" s="357" t="s">
        <v>25</v>
      </c>
      <c r="AE1" s="366" t="s">
        <v>26</v>
      </c>
      <c r="AF1" s="357" t="s">
        <v>27</v>
      </c>
      <c r="AG1" s="357" t="s">
        <v>28</v>
      </c>
      <c r="AH1" s="357" t="s">
        <v>29</v>
      </c>
      <c r="AI1" s="357" t="s">
        <v>30</v>
      </c>
      <c r="AJ1" s="357" t="s">
        <v>31</v>
      </c>
      <c r="AK1" s="357" t="s">
        <v>32</v>
      </c>
      <c r="AL1" s="357" t="s">
        <v>33</v>
      </c>
      <c r="AM1" s="366" t="s">
        <v>34</v>
      </c>
      <c r="AN1" s="357" t="s">
        <v>35</v>
      </c>
      <c r="AO1" s="357" t="s">
        <v>36</v>
      </c>
      <c r="AP1" s="357" t="s">
        <v>37</v>
      </c>
      <c r="AQ1" s="357" t="s">
        <v>38</v>
      </c>
      <c r="AR1" s="357" t="s">
        <v>39</v>
      </c>
      <c r="AS1" s="357" t="s">
        <v>40</v>
      </c>
      <c r="AT1" s="361" t="s">
        <v>41</v>
      </c>
      <c r="AU1" s="363" t="s">
        <v>43</v>
      </c>
      <c r="AV1" s="365"/>
      <c r="AW1" s="239" t="s">
        <v>44</v>
      </c>
      <c r="AX1" s="373" t="s">
        <v>45</v>
      </c>
      <c r="AY1" s="371"/>
      <c r="AZ1" s="373" t="s">
        <v>46</v>
      </c>
      <c r="BA1" s="372"/>
      <c r="BB1" s="368" t="s">
        <v>47</v>
      </c>
      <c r="BC1" s="370" t="s">
        <v>48</v>
      </c>
      <c r="BD1" s="372"/>
      <c r="BE1" s="363" t="s">
        <v>49</v>
      </c>
      <c r="BF1" s="364"/>
      <c r="BG1" s="365"/>
      <c r="BH1" s="370" t="s">
        <v>50</v>
      </c>
      <c r="BI1" s="371"/>
      <c r="BJ1" s="363" t="s">
        <v>489</v>
      </c>
      <c r="BK1" s="364"/>
      <c r="BL1" s="365"/>
      <c r="BM1" s="363" t="s">
        <v>497</v>
      </c>
      <c r="BN1" s="364"/>
      <c r="BO1" s="365"/>
      <c r="BP1" s="359" t="s">
        <v>51</v>
      </c>
      <c r="BQ1" s="243" t="s">
        <v>52</v>
      </c>
    </row>
    <row r="2" spans="1:69" s="86" customFormat="1" ht="24.6" thickBot="1">
      <c r="A2" s="382"/>
      <c r="B2" s="182" t="s">
        <v>53</v>
      </c>
      <c r="C2" s="182" t="s">
        <v>54</v>
      </c>
      <c r="D2" s="182" t="s">
        <v>55</v>
      </c>
      <c r="E2" s="358"/>
      <c r="F2" s="358"/>
      <c r="G2" s="362"/>
      <c r="H2" s="358"/>
      <c r="I2" s="358"/>
      <c r="J2" s="358"/>
      <c r="K2" s="358"/>
      <c r="L2" s="367"/>
      <c r="M2" s="367"/>
      <c r="N2" s="367"/>
      <c r="O2" s="358"/>
      <c r="P2" s="358"/>
      <c r="Q2" s="367"/>
      <c r="R2" s="367"/>
      <c r="S2" s="367"/>
      <c r="T2" s="358"/>
      <c r="U2" s="358"/>
      <c r="V2" s="358"/>
      <c r="W2" s="362"/>
      <c r="X2" s="378"/>
      <c r="Y2" s="380"/>
      <c r="Z2" s="358"/>
      <c r="AA2" s="358"/>
      <c r="AB2" s="367"/>
      <c r="AC2" s="358"/>
      <c r="AD2" s="358"/>
      <c r="AE2" s="367"/>
      <c r="AF2" s="358"/>
      <c r="AG2" s="358"/>
      <c r="AH2" s="358"/>
      <c r="AI2" s="358"/>
      <c r="AJ2" s="358"/>
      <c r="AK2" s="358"/>
      <c r="AL2" s="358"/>
      <c r="AM2" s="367"/>
      <c r="AN2" s="358"/>
      <c r="AO2" s="358"/>
      <c r="AP2" s="358"/>
      <c r="AQ2" s="358"/>
      <c r="AR2" s="358"/>
      <c r="AS2" s="358"/>
      <c r="AT2" s="362"/>
      <c r="AU2" s="237" t="s">
        <v>56</v>
      </c>
      <c r="AV2" s="230" t="s">
        <v>57</v>
      </c>
      <c r="AW2" s="240" t="s">
        <v>56</v>
      </c>
      <c r="AX2" s="237" t="s">
        <v>56</v>
      </c>
      <c r="AY2" s="230" t="s">
        <v>58</v>
      </c>
      <c r="AZ2" s="237" t="s">
        <v>56</v>
      </c>
      <c r="BA2" s="238" t="s">
        <v>57</v>
      </c>
      <c r="BB2" s="369"/>
      <c r="BC2" s="241" t="s">
        <v>56</v>
      </c>
      <c r="BD2" s="236" t="s">
        <v>57</v>
      </c>
      <c r="BE2" s="237" t="s">
        <v>59</v>
      </c>
      <c r="BF2" s="166" t="s">
        <v>60</v>
      </c>
      <c r="BG2" s="230" t="s">
        <v>57</v>
      </c>
      <c r="BH2" s="154" t="s">
        <v>56</v>
      </c>
      <c r="BI2" s="230" t="s">
        <v>57</v>
      </c>
      <c r="BJ2" s="236" t="s">
        <v>511</v>
      </c>
      <c r="BK2" s="316" t="s">
        <v>490</v>
      </c>
      <c r="BL2" s="311" t="s">
        <v>491</v>
      </c>
      <c r="BM2" s="236" t="s">
        <v>511</v>
      </c>
      <c r="BN2" s="316" t="s">
        <v>498</v>
      </c>
      <c r="BO2" s="311" t="s">
        <v>499</v>
      </c>
      <c r="BP2" s="360"/>
      <c r="BQ2" s="244">
        <f ca="1">TODAY()</f>
        <v>46142</v>
      </c>
    </row>
    <row r="3" spans="1:69" ht="19.350000000000001" customHeight="1">
      <c r="A3" s="75" t="s">
        <v>61</v>
      </c>
      <c r="B3" s="77"/>
      <c r="C3" s="75"/>
      <c r="D3" s="76"/>
      <c r="E3" s="75"/>
      <c r="F3" s="75" t="s">
        <v>544</v>
      </c>
      <c r="G3" s="119" t="s">
        <v>70</v>
      </c>
      <c r="H3" s="77" t="s">
        <v>62</v>
      </c>
      <c r="I3" s="77" t="s">
        <v>63</v>
      </c>
      <c r="J3" s="77" t="s">
        <v>66</v>
      </c>
      <c r="K3" s="77" t="s">
        <v>66</v>
      </c>
      <c r="L3" s="76" t="s">
        <v>64</v>
      </c>
      <c r="M3" s="76" t="s">
        <v>64</v>
      </c>
      <c r="N3" s="76" t="s">
        <v>547</v>
      </c>
      <c r="O3" s="75" t="s">
        <v>548</v>
      </c>
      <c r="P3" s="75" t="s">
        <v>548</v>
      </c>
      <c r="Q3" s="76">
        <v>47404</v>
      </c>
      <c r="R3" s="76">
        <v>46545</v>
      </c>
      <c r="S3" s="78" t="s">
        <v>64</v>
      </c>
      <c r="T3" s="75" t="s">
        <v>77</v>
      </c>
      <c r="U3" s="75" t="s">
        <v>545</v>
      </c>
      <c r="V3" s="75" t="s">
        <v>548</v>
      </c>
      <c r="W3" s="77">
        <v>20037</v>
      </c>
      <c r="X3" s="112" t="s">
        <v>549</v>
      </c>
      <c r="Y3" s="77" t="s">
        <v>545</v>
      </c>
      <c r="Z3" s="77"/>
      <c r="AA3" s="77" t="s">
        <v>69</v>
      </c>
      <c r="AB3" s="76">
        <v>45671</v>
      </c>
      <c r="AC3" s="77" t="s">
        <v>73</v>
      </c>
      <c r="AD3" s="77"/>
      <c r="AE3" s="76">
        <v>45600</v>
      </c>
      <c r="AF3" s="76"/>
      <c r="AG3" s="76">
        <v>45690</v>
      </c>
      <c r="AH3" s="77"/>
      <c r="AI3" s="77">
        <v>36</v>
      </c>
      <c r="AJ3" s="77"/>
      <c r="AK3" s="77" t="s">
        <v>81</v>
      </c>
      <c r="AL3" s="77"/>
      <c r="AM3" s="111"/>
      <c r="AN3" s="112" t="s">
        <v>68</v>
      </c>
      <c r="AO3" s="119"/>
      <c r="AP3" s="119"/>
      <c r="AQ3" s="119"/>
      <c r="AR3" s="112" t="s">
        <v>550</v>
      </c>
      <c r="AS3" s="120" t="s">
        <v>87</v>
      </c>
      <c r="AT3" s="119" t="s">
        <v>66</v>
      </c>
      <c r="AU3" s="111"/>
      <c r="AV3" s="121"/>
      <c r="AW3" s="111"/>
      <c r="AX3" s="111"/>
      <c r="AY3" s="121"/>
      <c r="AZ3" s="111"/>
      <c r="BA3" s="121"/>
      <c r="BB3" s="112">
        <v>45465</v>
      </c>
      <c r="BC3" s="121" t="s">
        <v>71</v>
      </c>
      <c r="BD3" s="121" t="s">
        <v>71</v>
      </c>
      <c r="BE3" s="121"/>
      <c r="BF3" s="111" t="s">
        <v>71</v>
      </c>
      <c r="BG3" s="121"/>
      <c r="BH3" s="111" t="s">
        <v>71</v>
      </c>
      <c r="BI3" s="121" t="s">
        <v>71</v>
      </c>
      <c r="BJ3" s="121"/>
      <c r="BK3" s="121"/>
      <c r="BL3" s="121"/>
      <c r="BM3" s="121"/>
      <c r="BN3" s="121"/>
      <c r="BO3" s="121"/>
      <c r="BP3" s="111"/>
    </row>
    <row r="4" spans="1:69" ht="19.350000000000001" customHeight="1">
      <c r="A4" s="75" t="s">
        <v>61</v>
      </c>
      <c r="B4" s="77" t="s">
        <v>88</v>
      </c>
      <c r="C4" s="76">
        <v>46000</v>
      </c>
      <c r="D4" s="76">
        <v>46203</v>
      </c>
      <c r="E4" s="76"/>
      <c r="F4" s="75" t="s">
        <v>543</v>
      </c>
      <c r="G4" s="200" t="s">
        <v>90</v>
      </c>
      <c r="H4" s="77" t="s">
        <v>76</v>
      </c>
      <c r="I4" s="77" t="s">
        <v>89</v>
      </c>
      <c r="J4" s="77"/>
      <c r="K4" s="77"/>
      <c r="L4" s="76"/>
      <c r="M4" s="76"/>
      <c r="N4" s="76" t="s">
        <v>545</v>
      </c>
      <c r="O4" s="75" t="s">
        <v>547</v>
      </c>
      <c r="P4" s="75" t="s">
        <v>546</v>
      </c>
      <c r="Q4" s="76">
        <v>49104</v>
      </c>
      <c r="R4" s="76">
        <v>47803</v>
      </c>
      <c r="S4" s="78" t="s">
        <v>64</v>
      </c>
      <c r="T4" s="75" t="s">
        <v>77</v>
      </c>
      <c r="U4" s="75" t="s">
        <v>549</v>
      </c>
      <c r="V4" s="75" t="s">
        <v>548</v>
      </c>
      <c r="W4" s="199">
        <v>22063</v>
      </c>
      <c r="X4" s="222" t="s">
        <v>549</v>
      </c>
      <c r="Y4" s="204" t="s">
        <v>545</v>
      </c>
      <c r="Z4" s="77"/>
      <c r="AA4" s="77" t="s">
        <v>69</v>
      </c>
      <c r="AB4" s="76"/>
      <c r="AC4" s="77"/>
      <c r="AD4" s="77"/>
      <c r="AE4" s="76">
        <v>45964</v>
      </c>
      <c r="AF4" s="76"/>
      <c r="AG4" s="76"/>
      <c r="AH4" s="77"/>
      <c r="AI4" s="77">
        <v>40</v>
      </c>
      <c r="AJ4" s="77"/>
      <c r="AK4" s="77" t="s">
        <v>81</v>
      </c>
      <c r="AL4" s="77"/>
      <c r="AM4" s="76"/>
      <c r="AN4" s="75" t="s">
        <v>68</v>
      </c>
      <c r="AO4" s="77" t="s">
        <v>69</v>
      </c>
      <c r="AP4" s="77" t="s">
        <v>64</v>
      </c>
      <c r="AQ4" s="77" t="s">
        <v>64</v>
      </c>
      <c r="AR4" s="75" t="s">
        <v>551</v>
      </c>
      <c r="AS4" s="287" t="s">
        <v>86</v>
      </c>
      <c r="AT4" s="119" t="s">
        <v>71</v>
      </c>
      <c r="AU4" s="110" t="s">
        <v>91</v>
      </c>
      <c r="AV4" s="78"/>
      <c r="AW4" s="76">
        <v>45188</v>
      </c>
      <c r="AX4" s="76">
        <v>45188</v>
      </c>
      <c r="AY4" s="78" t="s">
        <v>92</v>
      </c>
      <c r="AZ4" s="76" t="s">
        <v>71</v>
      </c>
      <c r="BA4" s="78" t="s">
        <v>71</v>
      </c>
      <c r="BB4" s="77" t="s">
        <v>71</v>
      </c>
      <c r="BC4" s="78" t="s">
        <v>71</v>
      </c>
      <c r="BD4" s="78" t="s">
        <v>71</v>
      </c>
      <c r="BE4" s="78">
        <v>46052</v>
      </c>
      <c r="BF4" s="76">
        <v>46136</v>
      </c>
      <c r="BG4" s="76">
        <v>46501</v>
      </c>
      <c r="BH4" s="76">
        <v>45621</v>
      </c>
      <c r="BI4" s="78">
        <v>47447</v>
      </c>
      <c r="BJ4" s="317" t="s">
        <v>88</v>
      </c>
      <c r="BK4" s="312" t="s">
        <v>493</v>
      </c>
      <c r="BL4" s="317" t="s">
        <v>513</v>
      </c>
      <c r="BM4" s="317" t="s">
        <v>88</v>
      </c>
      <c r="BN4" s="317" t="s">
        <v>512</v>
      </c>
      <c r="BO4" s="320"/>
      <c r="BP4" s="139"/>
    </row>
    <row r="5" spans="1:69" ht="19.350000000000001" customHeight="1" thickBot="1">
      <c r="A5" s="130" t="s">
        <v>61</v>
      </c>
      <c r="B5" s="130"/>
      <c r="C5" s="131"/>
      <c r="D5" s="132"/>
      <c r="E5" s="131"/>
      <c r="F5" s="130" t="s">
        <v>543</v>
      </c>
      <c r="G5" s="202" t="s">
        <v>78</v>
      </c>
      <c r="H5" s="131" t="s">
        <v>76</v>
      </c>
      <c r="I5" s="131" t="s">
        <v>63</v>
      </c>
      <c r="J5" s="77"/>
      <c r="K5" s="77"/>
      <c r="L5" s="76"/>
      <c r="M5" s="76"/>
      <c r="N5" s="76" t="s">
        <v>545</v>
      </c>
      <c r="O5" s="75" t="s">
        <v>547</v>
      </c>
      <c r="P5" s="75" t="s">
        <v>546</v>
      </c>
      <c r="Q5" s="76">
        <v>46045</v>
      </c>
      <c r="R5" s="76">
        <v>46545</v>
      </c>
      <c r="S5" s="78" t="s">
        <v>64</v>
      </c>
      <c r="T5" s="80" t="s">
        <v>77</v>
      </c>
      <c r="U5" s="75" t="s">
        <v>549</v>
      </c>
      <c r="V5" s="75" t="s">
        <v>548</v>
      </c>
      <c r="W5" s="199">
        <v>20021</v>
      </c>
      <c r="X5" s="222" t="s">
        <v>549</v>
      </c>
      <c r="Y5" s="204" t="s">
        <v>545</v>
      </c>
      <c r="Z5" s="76">
        <v>45566</v>
      </c>
      <c r="AA5" s="77" t="s">
        <v>69</v>
      </c>
      <c r="AB5" s="76"/>
      <c r="AC5" s="77"/>
      <c r="AD5" s="77"/>
      <c r="AE5" s="76">
        <v>46024</v>
      </c>
      <c r="AF5" s="76"/>
      <c r="AG5" s="76"/>
      <c r="AH5" s="77"/>
      <c r="AI5" s="77">
        <v>36</v>
      </c>
      <c r="AJ5" s="77"/>
      <c r="AK5" s="77" t="s">
        <v>81</v>
      </c>
      <c r="AL5" s="77"/>
      <c r="AM5" s="76"/>
      <c r="AN5" s="75" t="s">
        <v>68</v>
      </c>
      <c r="AO5" s="77" t="s">
        <v>66</v>
      </c>
      <c r="AP5" s="77">
        <v>6</v>
      </c>
      <c r="AQ5" s="77">
        <v>2025</v>
      </c>
      <c r="AR5" s="75" t="s">
        <v>551</v>
      </c>
      <c r="AS5" s="286" t="s">
        <v>94</v>
      </c>
      <c r="AT5" s="77" t="s">
        <v>66</v>
      </c>
      <c r="AU5" s="110">
        <v>45671</v>
      </c>
      <c r="AV5" s="78">
        <v>47497</v>
      </c>
      <c r="AW5" s="76">
        <v>45756</v>
      </c>
      <c r="AX5" s="76">
        <v>45756</v>
      </c>
      <c r="AY5" s="78">
        <v>47582</v>
      </c>
      <c r="AZ5" s="76" t="s">
        <v>71</v>
      </c>
      <c r="BA5" s="78" t="s">
        <v>71</v>
      </c>
      <c r="BB5" s="77" t="s">
        <v>71</v>
      </c>
      <c r="BC5" s="78" t="s">
        <v>71</v>
      </c>
      <c r="BD5" s="78" t="s">
        <v>71</v>
      </c>
      <c r="BE5" s="78" t="s">
        <v>71</v>
      </c>
      <c r="BF5" s="76" t="s">
        <v>71</v>
      </c>
      <c r="BG5" s="78" t="s">
        <v>71</v>
      </c>
      <c r="BH5" s="76" t="s">
        <v>71</v>
      </c>
      <c r="BI5" s="78" t="s">
        <v>71</v>
      </c>
      <c r="BJ5" s="317" t="s">
        <v>61</v>
      </c>
      <c r="BK5" s="312" t="s">
        <v>519</v>
      </c>
      <c r="BL5" s="317">
        <v>46099</v>
      </c>
      <c r="BM5" s="317" t="s">
        <v>61</v>
      </c>
      <c r="BN5" s="317" t="s">
        <v>66</v>
      </c>
      <c r="BO5" s="320"/>
      <c r="BP5" s="139"/>
    </row>
    <row r="6" spans="1:69" ht="19.350000000000001" hidden="1" customHeight="1">
      <c r="A6" s="115" t="s">
        <v>61</v>
      </c>
      <c r="B6" s="117" t="s">
        <v>88</v>
      </c>
      <c r="C6" s="113">
        <v>46090</v>
      </c>
      <c r="D6" s="113">
        <v>46102</v>
      </c>
      <c r="E6" s="113"/>
      <c r="F6" s="115"/>
      <c r="G6" s="114"/>
      <c r="H6" s="117"/>
      <c r="I6" s="117"/>
      <c r="J6" s="77"/>
      <c r="K6" s="77"/>
      <c r="L6" s="76"/>
      <c r="M6" s="76"/>
      <c r="N6" s="76"/>
      <c r="O6" s="75"/>
      <c r="P6" s="75"/>
      <c r="Q6" s="76"/>
      <c r="R6" s="76"/>
      <c r="S6" s="78"/>
      <c r="T6" s="80"/>
      <c r="U6" s="75"/>
      <c r="V6" s="75"/>
      <c r="W6" s="199"/>
      <c r="X6" s="222"/>
      <c r="Y6" s="204"/>
      <c r="Z6" s="76"/>
      <c r="AA6" s="77"/>
      <c r="AB6" s="76"/>
      <c r="AC6" s="77"/>
      <c r="AD6" s="77"/>
      <c r="AE6" s="76"/>
      <c r="AF6" s="76"/>
      <c r="AG6" s="76"/>
      <c r="AH6" s="77"/>
      <c r="AI6" s="77"/>
      <c r="AJ6" s="77"/>
      <c r="AK6" s="77"/>
      <c r="AL6" s="77"/>
      <c r="AM6" s="113"/>
      <c r="AN6" s="115"/>
      <c r="AO6" s="117"/>
      <c r="AP6" s="117"/>
      <c r="AQ6" s="117"/>
      <c r="AR6" s="115"/>
      <c r="AS6" s="234"/>
      <c r="AT6" s="114"/>
      <c r="AU6" s="118"/>
      <c r="AV6" s="232"/>
      <c r="AW6" s="118"/>
      <c r="AX6" s="118"/>
      <c r="AY6" s="232"/>
      <c r="AZ6" s="118"/>
      <c r="BA6" s="232"/>
      <c r="BB6" s="114"/>
      <c r="BC6" s="235"/>
      <c r="BD6" s="232"/>
      <c r="BE6" s="232"/>
      <c r="BF6" s="118"/>
      <c r="BG6" s="232"/>
      <c r="BH6" s="118"/>
      <c r="BI6" s="232"/>
      <c r="BJ6" s="313"/>
      <c r="BK6" s="313"/>
      <c r="BL6" s="313"/>
      <c r="BM6" s="313"/>
      <c r="BN6" s="313"/>
      <c r="BO6" s="313"/>
      <c r="BP6" s="145"/>
    </row>
    <row r="7" spans="1:69" ht="19.350000000000001" customHeight="1">
      <c r="A7" s="125" t="s">
        <v>100</v>
      </c>
      <c r="B7" s="115"/>
      <c r="C7" s="117"/>
      <c r="D7" s="76"/>
      <c r="E7" s="117"/>
      <c r="F7" s="75" t="s">
        <v>543</v>
      </c>
      <c r="G7" s="201" t="s">
        <v>78</v>
      </c>
      <c r="H7" s="127" t="s">
        <v>76</v>
      </c>
      <c r="I7" s="127" t="s">
        <v>63</v>
      </c>
      <c r="J7" s="127"/>
      <c r="K7" s="127"/>
      <c r="L7" s="128"/>
      <c r="M7" s="128"/>
      <c r="N7" s="76" t="s">
        <v>545</v>
      </c>
      <c r="O7" s="75" t="s">
        <v>547</v>
      </c>
      <c r="P7" s="75" t="s">
        <v>546</v>
      </c>
      <c r="Q7" s="76">
        <v>48512</v>
      </c>
      <c r="R7" s="76">
        <v>46899</v>
      </c>
      <c r="S7" s="128" t="s">
        <v>64</v>
      </c>
      <c r="T7" s="126" t="s">
        <v>77</v>
      </c>
      <c r="U7" s="75" t="s">
        <v>549</v>
      </c>
      <c r="V7" s="75" t="s">
        <v>548</v>
      </c>
      <c r="W7" s="201">
        <v>20061</v>
      </c>
      <c r="X7" s="222" t="s">
        <v>549</v>
      </c>
      <c r="Y7" s="204" t="s">
        <v>545</v>
      </c>
      <c r="Z7" s="127"/>
      <c r="AA7" s="127" t="s">
        <v>69</v>
      </c>
      <c r="AB7" s="128"/>
      <c r="AC7" s="127"/>
      <c r="AD7" s="127"/>
      <c r="AE7" s="128">
        <v>45817</v>
      </c>
      <c r="AF7" s="76"/>
      <c r="AG7" s="76">
        <v>45822</v>
      </c>
      <c r="AH7" s="127"/>
      <c r="AI7" s="127">
        <v>36</v>
      </c>
      <c r="AJ7" s="127"/>
      <c r="AK7" s="127" t="s">
        <v>81</v>
      </c>
      <c r="AL7" s="127">
        <v>3</v>
      </c>
      <c r="AM7" s="128">
        <v>45908</v>
      </c>
      <c r="AN7" s="126" t="s">
        <v>68</v>
      </c>
      <c r="AO7" s="127" t="s">
        <v>66</v>
      </c>
      <c r="AP7" s="127">
        <v>11</v>
      </c>
      <c r="AQ7" s="127">
        <v>2025</v>
      </c>
      <c r="AR7" s="75" t="s">
        <v>551</v>
      </c>
      <c r="AS7" s="289" t="s">
        <v>101</v>
      </c>
      <c r="AT7" s="127" t="s">
        <v>66</v>
      </c>
      <c r="AU7" s="110">
        <v>46056</v>
      </c>
      <c r="AV7" s="78">
        <v>47882</v>
      </c>
      <c r="AW7" s="76">
        <v>46111</v>
      </c>
      <c r="AX7" s="76" t="s">
        <v>93</v>
      </c>
      <c r="AY7" s="78"/>
      <c r="AZ7" s="76" t="s">
        <v>71</v>
      </c>
      <c r="BA7" s="78" t="s">
        <v>71</v>
      </c>
      <c r="BB7" s="77" t="s">
        <v>71</v>
      </c>
      <c r="BC7" s="78" t="s">
        <v>71</v>
      </c>
      <c r="BD7" s="78" t="s">
        <v>71</v>
      </c>
      <c r="BE7" s="78" t="s">
        <v>71</v>
      </c>
      <c r="BF7" s="76" t="s">
        <v>71</v>
      </c>
      <c r="BG7" s="78" t="s">
        <v>71</v>
      </c>
      <c r="BH7" s="76" t="s">
        <v>71</v>
      </c>
      <c r="BI7" s="78" t="s">
        <v>71</v>
      </c>
      <c r="BJ7" s="317" t="s">
        <v>100</v>
      </c>
      <c r="BK7" s="312" t="s">
        <v>522</v>
      </c>
      <c r="BL7" s="317">
        <v>46099</v>
      </c>
      <c r="BM7" s="317" t="s">
        <v>100</v>
      </c>
      <c r="BN7" s="317" t="s">
        <v>66</v>
      </c>
      <c r="BO7" s="320"/>
      <c r="BP7" s="139"/>
    </row>
    <row r="8" spans="1:69" ht="21.6" customHeight="1" thickBot="1">
      <c r="A8" s="129" t="s">
        <v>100</v>
      </c>
      <c r="B8" s="130"/>
      <c r="C8" s="202"/>
      <c r="D8" s="132"/>
      <c r="E8" s="205"/>
      <c r="F8" s="130" t="s">
        <v>543</v>
      </c>
      <c r="G8" s="202" t="s">
        <v>70</v>
      </c>
      <c r="H8" s="131" t="s">
        <v>76</v>
      </c>
      <c r="I8" s="131" t="s">
        <v>63</v>
      </c>
      <c r="J8" s="131"/>
      <c r="K8" s="131"/>
      <c r="L8" s="132"/>
      <c r="M8" s="132"/>
      <c r="N8" s="76" t="s">
        <v>545</v>
      </c>
      <c r="O8" s="75" t="s">
        <v>547</v>
      </c>
      <c r="P8" s="75" t="s">
        <v>546</v>
      </c>
      <c r="Q8" s="132">
        <v>48756</v>
      </c>
      <c r="R8" s="132">
        <v>47836</v>
      </c>
      <c r="S8" s="279">
        <v>48845</v>
      </c>
      <c r="T8" s="130" t="s">
        <v>72</v>
      </c>
      <c r="U8" s="75" t="s">
        <v>549</v>
      </c>
      <c r="V8" s="75" t="s">
        <v>548</v>
      </c>
      <c r="W8" s="202">
        <v>20099</v>
      </c>
      <c r="X8" s="222" t="s">
        <v>549</v>
      </c>
      <c r="Y8" s="204" t="s">
        <v>545</v>
      </c>
      <c r="Z8" s="131"/>
      <c r="AA8" s="131" t="s">
        <v>69</v>
      </c>
      <c r="AB8" s="132"/>
      <c r="AC8" s="131"/>
      <c r="AD8" s="131"/>
      <c r="AE8" s="134">
        <v>45811</v>
      </c>
      <c r="AF8" s="132"/>
      <c r="AG8" s="132">
        <v>45813</v>
      </c>
      <c r="AH8" s="205"/>
      <c r="AI8" s="131">
        <v>36</v>
      </c>
      <c r="AJ8" s="131"/>
      <c r="AK8" s="131" t="s">
        <v>81</v>
      </c>
      <c r="AL8" s="131">
        <v>1</v>
      </c>
      <c r="AM8" s="132">
        <v>45992</v>
      </c>
      <c r="AN8" s="130" t="s">
        <v>68</v>
      </c>
      <c r="AO8" s="131" t="s">
        <v>66</v>
      </c>
      <c r="AP8" s="131">
        <v>2</v>
      </c>
      <c r="AQ8" s="131">
        <v>2026</v>
      </c>
      <c r="AR8" s="75" t="s">
        <v>551</v>
      </c>
      <c r="AS8" s="290" t="s">
        <v>105</v>
      </c>
      <c r="AT8" s="131" t="s">
        <v>66</v>
      </c>
      <c r="AU8" s="140">
        <v>46056</v>
      </c>
      <c r="AV8" s="133">
        <v>46421</v>
      </c>
      <c r="AW8" s="132">
        <v>46088</v>
      </c>
      <c r="AX8" s="132" t="s">
        <v>93</v>
      </c>
      <c r="AY8" s="133"/>
      <c r="AZ8" s="180" t="s">
        <v>103</v>
      </c>
      <c r="BA8" s="133"/>
      <c r="BB8" s="131">
        <v>2026</v>
      </c>
      <c r="BC8" s="132">
        <v>46063</v>
      </c>
      <c r="BD8" s="133">
        <v>47889</v>
      </c>
      <c r="BE8" s="133" t="s">
        <v>71</v>
      </c>
      <c r="BF8" s="132" t="s">
        <v>71</v>
      </c>
      <c r="BG8" s="133" t="s">
        <v>71</v>
      </c>
      <c r="BH8" s="132" t="s">
        <v>71</v>
      </c>
      <c r="BI8" s="133" t="s">
        <v>71</v>
      </c>
      <c r="BJ8" s="322" t="s">
        <v>100</v>
      </c>
      <c r="BK8" s="314" t="s">
        <v>523</v>
      </c>
      <c r="BL8" s="322">
        <v>46070</v>
      </c>
      <c r="BM8" s="322" t="s">
        <v>100</v>
      </c>
      <c r="BN8" s="322" t="s">
        <v>66</v>
      </c>
      <c r="BO8" s="322" t="s">
        <v>66</v>
      </c>
      <c r="BP8" s="135"/>
    </row>
    <row r="9" spans="1:69" ht="19.350000000000001" customHeight="1">
      <c r="A9" s="115" t="s">
        <v>106</v>
      </c>
      <c r="B9" s="115"/>
      <c r="C9" s="117"/>
      <c r="D9" s="76"/>
      <c r="E9" s="117"/>
      <c r="F9" s="75" t="s">
        <v>543</v>
      </c>
      <c r="G9" s="233" t="s">
        <v>70</v>
      </c>
      <c r="H9" s="117" t="s">
        <v>76</v>
      </c>
      <c r="I9" s="117" t="s">
        <v>63</v>
      </c>
      <c r="J9" s="117"/>
      <c r="K9" s="117"/>
      <c r="L9" s="113"/>
      <c r="M9" s="113"/>
      <c r="N9" s="76" t="s">
        <v>545</v>
      </c>
      <c r="O9" s="75" t="s">
        <v>547</v>
      </c>
      <c r="P9" s="75" t="s">
        <v>546</v>
      </c>
      <c r="Q9" s="76">
        <v>48697</v>
      </c>
      <c r="R9" s="76">
        <v>46217</v>
      </c>
      <c r="S9" s="122" t="s">
        <v>64</v>
      </c>
      <c r="T9" s="115" t="s">
        <v>80</v>
      </c>
      <c r="U9" s="75" t="s">
        <v>549</v>
      </c>
      <c r="V9" s="75" t="s">
        <v>548</v>
      </c>
      <c r="W9" s="203">
        <v>20025</v>
      </c>
      <c r="X9" s="222" t="s">
        <v>549</v>
      </c>
      <c r="Y9" s="204" t="s">
        <v>545</v>
      </c>
      <c r="Z9" s="117"/>
      <c r="AA9" s="117" t="s">
        <v>69</v>
      </c>
      <c r="AB9" s="113"/>
      <c r="AC9" s="117"/>
      <c r="AD9" s="117"/>
      <c r="AE9" s="113">
        <v>45418</v>
      </c>
      <c r="AF9" s="76"/>
      <c r="AG9" s="76">
        <v>45508</v>
      </c>
      <c r="AH9" s="117"/>
      <c r="AI9" s="117">
        <v>36</v>
      </c>
      <c r="AJ9" s="117"/>
      <c r="AK9" s="117" t="s">
        <v>81</v>
      </c>
      <c r="AL9" s="117"/>
      <c r="AM9" s="113"/>
      <c r="AN9" s="115" t="s">
        <v>68</v>
      </c>
      <c r="AO9" s="117" t="s">
        <v>66</v>
      </c>
      <c r="AP9" s="117">
        <v>8</v>
      </c>
      <c r="AQ9" s="117">
        <v>2024</v>
      </c>
      <c r="AR9" s="75" t="s">
        <v>551</v>
      </c>
      <c r="AS9" s="291" t="s">
        <v>108</v>
      </c>
      <c r="AT9" s="114" t="s">
        <v>66</v>
      </c>
      <c r="AU9" s="110">
        <v>45960</v>
      </c>
      <c r="AV9" s="78">
        <v>46325</v>
      </c>
      <c r="AW9" s="76">
        <v>45023</v>
      </c>
      <c r="AX9" s="76">
        <v>46073</v>
      </c>
      <c r="AY9" s="78">
        <v>47899</v>
      </c>
      <c r="AZ9" s="76">
        <v>46086</v>
      </c>
      <c r="BA9" s="76">
        <v>47912</v>
      </c>
      <c r="BB9" s="77">
        <v>2026</v>
      </c>
      <c r="BC9" s="76">
        <v>45719</v>
      </c>
      <c r="BD9" s="78">
        <v>47545</v>
      </c>
      <c r="BE9" s="78" t="s">
        <v>71</v>
      </c>
      <c r="BF9" s="76" t="s">
        <v>71</v>
      </c>
      <c r="BG9" s="78" t="s">
        <v>71</v>
      </c>
      <c r="BH9" s="76">
        <v>44982</v>
      </c>
      <c r="BI9" s="78">
        <v>46808</v>
      </c>
      <c r="BJ9" s="317" t="s">
        <v>106</v>
      </c>
      <c r="BK9" s="312" t="s">
        <v>516</v>
      </c>
      <c r="BL9" s="317">
        <v>46066</v>
      </c>
      <c r="BM9" s="317" t="s">
        <v>106</v>
      </c>
      <c r="BN9" s="317" t="s">
        <v>66</v>
      </c>
      <c r="BO9" s="317" t="s">
        <v>66</v>
      </c>
      <c r="BP9" s="139"/>
    </row>
    <row r="10" spans="1:69" ht="19.350000000000001" customHeight="1">
      <c r="A10" s="75" t="s">
        <v>106</v>
      </c>
      <c r="B10" s="75"/>
      <c r="C10" s="77"/>
      <c r="D10" s="76"/>
      <c r="E10" s="77"/>
      <c r="F10" s="75" t="s">
        <v>543</v>
      </c>
      <c r="G10" s="199" t="s">
        <v>90</v>
      </c>
      <c r="H10" s="77" t="s">
        <v>76</v>
      </c>
      <c r="I10" s="77" t="s">
        <v>63</v>
      </c>
      <c r="J10" s="77"/>
      <c r="K10" s="77"/>
      <c r="L10" s="76"/>
      <c r="M10" s="76"/>
      <c r="N10" s="76" t="s">
        <v>545</v>
      </c>
      <c r="O10" s="75" t="s">
        <v>547</v>
      </c>
      <c r="P10" s="75" t="s">
        <v>546</v>
      </c>
      <c r="Q10" s="76">
        <v>47930</v>
      </c>
      <c r="R10" s="76">
        <v>47987</v>
      </c>
      <c r="S10" s="78" t="s">
        <v>64</v>
      </c>
      <c r="T10" s="75" t="s">
        <v>80</v>
      </c>
      <c r="U10" s="75" t="s">
        <v>549</v>
      </c>
      <c r="V10" s="75" t="s">
        <v>548</v>
      </c>
      <c r="W10" s="199">
        <v>20020</v>
      </c>
      <c r="X10" s="222" t="s">
        <v>549</v>
      </c>
      <c r="Y10" s="204" t="s">
        <v>545</v>
      </c>
      <c r="Z10" s="77"/>
      <c r="AA10" s="77" t="s">
        <v>69</v>
      </c>
      <c r="AB10" s="76"/>
      <c r="AC10" s="77"/>
      <c r="AD10" s="77"/>
      <c r="AE10" s="76">
        <v>45544</v>
      </c>
      <c r="AF10" s="76"/>
      <c r="AG10" s="76">
        <v>45724</v>
      </c>
      <c r="AH10" s="77"/>
      <c r="AI10" s="77">
        <v>40</v>
      </c>
      <c r="AJ10" s="77"/>
      <c r="AK10" s="77" t="s">
        <v>81</v>
      </c>
      <c r="AL10" s="77"/>
      <c r="AM10" s="76"/>
      <c r="AN10" s="75" t="s">
        <v>68</v>
      </c>
      <c r="AO10" s="77" t="s">
        <v>69</v>
      </c>
      <c r="AP10" s="77" t="s">
        <v>64</v>
      </c>
      <c r="AQ10" s="77" t="s">
        <v>64</v>
      </c>
      <c r="AR10" s="75" t="s">
        <v>551</v>
      </c>
      <c r="AS10" s="286" t="s">
        <v>86</v>
      </c>
      <c r="AT10" s="77" t="s">
        <v>66</v>
      </c>
      <c r="AU10" s="110">
        <v>45674</v>
      </c>
      <c r="AV10" s="78">
        <v>47500</v>
      </c>
      <c r="AW10" s="76">
        <v>45831</v>
      </c>
      <c r="AX10" s="76">
        <v>45831</v>
      </c>
      <c r="AY10" s="78">
        <v>47657</v>
      </c>
      <c r="AZ10" s="76" t="s">
        <v>71</v>
      </c>
      <c r="BA10" s="78" t="s">
        <v>71</v>
      </c>
      <c r="BB10" s="77" t="s">
        <v>71</v>
      </c>
      <c r="BC10" s="78" t="s">
        <v>71</v>
      </c>
      <c r="BD10" s="78" t="s">
        <v>71</v>
      </c>
      <c r="BE10" s="78" t="s">
        <v>71</v>
      </c>
      <c r="BF10" s="76" t="s">
        <v>71</v>
      </c>
      <c r="BG10" s="78" t="s">
        <v>71</v>
      </c>
      <c r="BH10" s="76" t="s">
        <v>71</v>
      </c>
      <c r="BI10" s="78" t="s">
        <v>71</v>
      </c>
      <c r="BJ10" s="317" t="s">
        <v>106</v>
      </c>
      <c r="BK10" s="312" t="s">
        <v>517</v>
      </c>
      <c r="BL10" s="317">
        <v>46065</v>
      </c>
      <c r="BM10" s="317" t="s">
        <v>106</v>
      </c>
      <c r="BN10" s="317" t="s">
        <v>66</v>
      </c>
      <c r="BO10" s="320"/>
      <c r="BP10" s="139"/>
    </row>
    <row r="11" spans="1:69" ht="19.350000000000001" customHeight="1" thickBot="1">
      <c r="A11" s="130" t="s">
        <v>106</v>
      </c>
      <c r="B11" s="130"/>
      <c r="C11" s="202"/>
      <c r="D11" s="132"/>
      <c r="E11" s="205"/>
      <c r="F11" s="130" t="s">
        <v>543</v>
      </c>
      <c r="G11" s="202" t="s">
        <v>78</v>
      </c>
      <c r="H11" s="131" t="s">
        <v>76</v>
      </c>
      <c r="I11" s="131" t="s">
        <v>63</v>
      </c>
      <c r="J11" s="131"/>
      <c r="K11" s="131"/>
      <c r="L11" s="132"/>
      <c r="M11" s="132"/>
      <c r="N11" s="76" t="s">
        <v>545</v>
      </c>
      <c r="O11" s="75" t="s">
        <v>547</v>
      </c>
      <c r="P11" s="75" t="s">
        <v>546</v>
      </c>
      <c r="Q11" s="132">
        <v>48012</v>
      </c>
      <c r="R11" s="132">
        <v>47240</v>
      </c>
      <c r="S11" s="279" t="s">
        <v>64</v>
      </c>
      <c r="T11" s="130" t="s">
        <v>77</v>
      </c>
      <c r="U11" s="75" t="s">
        <v>549</v>
      </c>
      <c r="V11" s="75" t="s">
        <v>548</v>
      </c>
      <c r="W11" s="202">
        <v>20039</v>
      </c>
      <c r="X11" s="222" t="s">
        <v>549</v>
      </c>
      <c r="Y11" s="204" t="s">
        <v>545</v>
      </c>
      <c r="Z11" s="131"/>
      <c r="AA11" s="131" t="s">
        <v>69</v>
      </c>
      <c r="AB11" s="132"/>
      <c r="AC11" s="131"/>
      <c r="AD11" s="131"/>
      <c r="AE11" s="134">
        <v>45627</v>
      </c>
      <c r="AF11" s="132"/>
      <c r="AG11" s="132"/>
      <c r="AH11" s="205"/>
      <c r="AI11" s="131">
        <v>36</v>
      </c>
      <c r="AJ11" s="131"/>
      <c r="AK11" s="131" t="s">
        <v>81</v>
      </c>
      <c r="AL11" s="131">
        <v>3</v>
      </c>
      <c r="AM11" s="132">
        <v>45717</v>
      </c>
      <c r="AN11" s="130" t="s">
        <v>68</v>
      </c>
      <c r="AO11" s="131" t="s">
        <v>66</v>
      </c>
      <c r="AP11" s="131">
        <v>5</v>
      </c>
      <c r="AQ11" s="131">
        <v>2025</v>
      </c>
      <c r="AR11" s="75" t="s">
        <v>551</v>
      </c>
      <c r="AS11" s="290" t="s">
        <v>85</v>
      </c>
      <c r="AT11" s="131" t="s">
        <v>66</v>
      </c>
      <c r="AU11" s="140">
        <v>45674</v>
      </c>
      <c r="AV11" s="133">
        <v>47500</v>
      </c>
      <c r="AW11" s="132">
        <v>45732</v>
      </c>
      <c r="AX11" s="132">
        <v>45732</v>
      </c>
      <c r="AY11" s="133">
        <v>47558</v>
      </c>
      <c r="AZ11" s="132" t="s">
        <v>71</v>
      </c>
      <c r="BA11" s="133" t="s">
        <v>71</v>
      </c>
      <c r="BB11" s="131" t="s">
        <v>71</v>
      </c>
      <c r="BC11" s="133" t="s">
        <v>71</v>
      </c>
      <c r="BD11" s="133" t="s">
        <v>71</v>
      </c>
      <c r="BE11" s="133" t="s">
        <v>71</v>
      </c>
      <c r="BF11" s="132" t="s">
        <v>71</v>
      </c>
      <c r="BG11" s="133" t="s">
        <v>71</v>
      </c>
      <c r="BH11" s="132" t="s">
        <v>71</v>
      </c>
      <c r="BI11" s="133" t="s">
        <v>71</v>
      </c>
      <c r="BJ11" s="322" t="s">
        <v>106</v>
      </c>
      <c r="BK11" s="314" t="s">
        <v>518</v>
      </c>
      <c r="BL11" s="322">
        <v>46065</v>
      </c>
      <c r="BM11" s="322" t="s">
        <v>106</v>
      </c>
      <c r="BN11" s="322" t="s">
        <v>66</v>
      </c>
      <c r="BO11" s="318"/>
      <c r="BP11" s="135"/>
    </row>
    <row r="12" spans="1:69" ht="22.2">
      <c r="A12" s="75" t="s">
        <v>75</v>
      </c>
      <c r="B12" s="77" t="s">
        <v>99</v>
      </c>
      <c r="C12" s="76">
        <v>46055</v>
      </c>
      <c r="D12" s="76">
        <v>46067</v>
      </c>
      <c r="E12" s="76"/>
      <c r="F12" s="75" t="s">
        <v>543</v>
      </c>
      <c r="G12" s="200" t="s">
        <v>78</v>
      </c>
      <c r="H12" s="77" t="s">
        <v>76</v>
      </c>
      <c r="I12" s="77" t="s">
        <v>63</v>
      </c>
      <c r="J12" s="77"/>
      <c r="K12" s="77"/>
      <c r="L12" s="76"/>
      <c r="M12" s="76"/>
      <c r="N12" s="76" t="s">
        <v>545</v>
      </c>
      <c r="O12" s="75" t="s">
        <v>547</v>
      </c>
      <c r="P12" s="75" t="s">
        <v>546</v>
      </c>
      <c r="Q12" s="76">
        <v>47768</v>
      </c>
      <c r="R12" s="76">
        <v>46702</v>
      </c>
      <c r="S12" s="78"/>
      <c r="T12" s="75" t="s">
        <v>77</v>
      </c>
      <c r="U12" s="75" t="s">
        <v>549</v>
      </c>
      <c r="V12" s="75" t="s">
        <v>548</v>
      </c>
      <c r="W12" s="199">
        <v>20128</v>
      </c>
      <c r="X12" s="222" t="s">
        <v>549</v>
      </c>
      <c r="Y12" s="204" t="s">
        <v>545</v>
      </c>
      <c r="Z12" s="77"/>
      <c r="AA12" s="77" t="s">
        <v>69</v>
      </c>
      <c r="AB12" s="76"/>
      <c r="AC12" s="77"/>
      <c r="AD12" s="77"/>
      <c r="AE12" s="76">
        <v>46055</v>
      </c>
      <c r="AF12" s="76">
        <v>46235</v>
      </c>
      <c r="AG12" s="76">
        <v>46070</v>
      </c>
      <c r="AH12" s="77"/>
      <c r="AI12" s="77">
        <v>36</v>
      </c>
      <c r="AJ12" s="77"/>
      <c r="AK12" s="77" t="s">
        <v>67</v>
      </c>
      <c r="AL12" s="77">
        <v>6</v>
      </c>
      <c r="AM12" s="76"/>
      <c r="AN12" s="75" t="s">
        <v>68</v>
      </c>
      <c r="AO12" s="77"/>
      <c r="AP12" s="77"/>
      <c r="AQ12" s="77"/>
      <c r="AR12" s="75" t="s">
        <v>551</v>
      </c>
      <c r="AS12" s="287" t="s">
        <v>114</v>
      </c>
      <c r="AT12" s="119" t="s">
        <v>71</v>
      </c>
      <c r="AU12" s="285" t="s">
        <v>115</v>
      </c>
      <c r="AV12" s="78"/>
      <c r="AW12" s="195" t="s">
        <v>115</v>
      </c>
      <c r="AX12" s="195" t="s">
        <v>115</v>
      </c>
      <c r="AY12" s="78"/>
      <c r="AZ12" s="76" t="s">
        <v>71</v>
      </c>
      <c r="BA12" s="78" t="s">
        <v>71</v>
      </c>
      <c r="BB12" s="77" t="s">
        <v>71</v>
      </c>
      <c r="BC12" s="76" t="s">
        <v>71</v>
      </c>
      <c r="BD12" s="78" t="s">
        <v>71</v>
      </c>
      <c r="BE12" s="78" t="s">
        <v>71</v>
      </c>
      <c r="BF12" s="76" t="s">
        <v>71</v>
      </c>
      <c r="BG12" s="78" t="s">
        <v>71</v>
      </c>
      <c r="BH12" s="76" t="s">
        <v>71</v>
      </c>
      <c r="BI12" s="78" t="s">
        <v>71</v>
      </c>
      <c r="BJ12" s="317" t="s">
        <v>75</v>
      </c>
      <c r="BK12" s="312" t="s">
        <v>526</v>
      </c>
      <c r="BL12" s="317">
        <v>46072</v>
      </c>
      <c r="BM12" s="317" t="s">
        <v>75</v>
      </c>
      <c r="BN12" s="317" t="s">
        <v>66</v>
      </c>
      <c r="BO12" s="320"/>
      <c r="BP12" s="139"/>
    </row>
    <row r="13" spans="1:69" ht="19.649999999999999" customHeight="1">
      <c r="A13" s="75" t="s">
        <v>75</v>
      </c>
      <c r="B13" s="75"/>
      <c r="C13" s="77"/>
      <c r="D13" s="76"/>
      <c r="E13" s="77"/>
      <c r="F13" s="75" t="s">
        <v>543</v>
      </c>
      <c r="G13" s="199" t="s">
        <v>90</v>
      </c>
      <c r="H13" s="77" t="s">
        <v>76</v>
      </c>
      <c r="I13" s="77" t="s">
        <v>89</v>
      </c>
      <c r="J13" s="77"/>
      <c r="K13" s="77"/>
      <c r="L13" s="76"/>
      <c r="M13" s="76"/>
      <c r="N13" s="76" t="s">
        <v>545</v>
      </c>
      <c r="O13" s="75" t="s">
        <v>547</v>
      </c>
      <c r="P13" s="75" t="s">
        <v>546</v>
      </c>
      <c r="Q13" s="76">
        <v>49392</v>
      </c>
      <c r="R13" s="76">
        <v>48008</v>
      </c>
      <c r="S13" s="78" t="s">
        <v>64</v>
      </c>
      <c r="T13" s="75" t="s">
        <v>77</v>
      </c>
      <c r="U13" s="75" t="s">
        <v>549</v>
      </c>
      <c r="V13" s="75" t="s">
        <v>548</v>
      </c>
      <c r="W13" s="199">
        <v>21047</v>
      </c>
      <c r="X13" s="222" t="s">
        <v>549</v>
      </c>
      <c r="Y13" s="204" t="s">
        <v>545</v>
      </c>
      <c r="Z13" s="76">
        <v>45839</v>
      </c>
      <c r="AA13" s="77" t="s">
        <v>69</v>
      </c>
      <c r="AB13" s="76">
        <v>46022</v>
      </c>
      <c r="AC13" s="77" t="s">
        <v>83</v>
      </c>
      <c r="AD13" s="77"/>
      <c r="AE13" s="76">
        <v>46024</v>
      </c>
      <c r="AF13" s="76"/>
      <c r="AG13" s="76">
        <v>46018</v>
      </c>
      <c r="AH13" s="77"/>
      <c r="AI13" s="77">
        <v>40</v>
      </c>
      <c r="AJ13" s="77"/>
      <c r="AK13" s="77" t="s">
        <v>81</v>
      </c>
      <c r="AL13" s="77"/>
      <c r="AM13" s="76"/>
      <c r="AN13" s="75" t="s">
        <v>68</v>
      </c>
      <c r="AO13" s="77" t="s">
        <v>69</v>
      </c>
      <c r="AP13" s="77" t="s">
        <v>64</v>
      </c>
      <c r="AQ13" s="77" t="s">
        <v>64</v>
      </c>
      <c r="AR13" s="75" t="s">
        <v>551</v>
      </c>
      <c r="AS13" s="286" t="s">
        <v>116</v>
      </c>
      <c r="AT13" s="77" t="s">
        <v>71</v>
      </c>
      <c r="AU13" s="110">
        <v>46057</v>
      </c>
      <c r="AV13" s="76">
        <v>47911</v>
      </c>
      <c r="AW13" s="76">
        <v>46121</v>
      </c>
      <c r="AX13" s="76">
        <v>46121</v>
      </c>
      <c r="AY13" s="305" t="s">
        <v>92</v>
      </c>
      <c r="AZ13" s="76" t="s">
        <v>71</v>
      </c>
      <c r="BA13" s="78" t="s">
        <v>71</v>
      </c>
      <c r="BB13" s="77" t="s">
        <v>71</v>
      </c>
      <c r="BC13" s="78" t="s">
        <v>71</v>
      </c>
      <c r="BD13" s="78" t="s">
        <v>71</v>
      </c>
      <c r="BE13" s="78"/>
      <c r="BF13" s="76" t="s">
        <v>93</v>
      </c>
      <c r="BG13" s="78"/>
      <c r="BH13" s="76" t="s">
        <v>71</v>
      </c>
      <c r="BI13" s="78" t="s">
        <v>71</v>
      </c>
      <c r="BJ13" s="317" t="s">
        <v>75</v>
      </c>
      <c r="BK13" s="312" t="s">
        <v>527</v>
      </c>
      <c r="BL13" s="317">
        <v>46065</v>
      </c>
      <c r="BM13" s="317" t="s">
        <v>75</v>
      </c>
      <c r="BN13" s="317" t="s">
        <v>66</v>
      </c>
      <c r="BO13" s="320"/>
      <c r="BP13" s="139"/>
    </row>
    <row r="14" spans="1:69" ht="19.350000000000001" customHeight="1" thickBot="1">
      <c r="A14" s="130" t="s">
        <v>75</v>
      </c>
      <c r="B14" s="130"/>
      <c r="C14" s="202"/>
      <c r="D14" s="132"/>
      <c r="E14" s="205"/>
      <c r="F14" s="130" t="s">
        <v>543</v>
      </c>
      <c r="G14" s="221" t="s">
        <v>70</v>
      </c>
      <c r="H14" s="131" t="s">
        <v>76</v>
      </c>
      <c r="I14" s="131" t="s">
        <v>63</v>
      </c>
      <c r="J14" s="131"/>
      <c r="K14" s="131"/>
      <c r="L14" s="132"/>
      <c r="M14" s="132"/>
      <c r="N14" s="76" t="s">
        <v>545</v>
      </c>
      <c r="O14" s="75" t="s">
        <v>547</v>
      </c>
      <c r="P14" s="75" t="s">
        <v>546</v>
      </c>
      <c r="Q14" s="132">
        <v>47213</v>
      </c>
      <c r="R14" s="132">
        <v>47079</v>
      </c>
      <c r="S14" s="279" t="s">
        <v>64</v>
      </c>
      <c r="T14" s="130" t="s">
        <v>77</v>
      </c>
      <c r="U14" s="75" t="s">
        <v>549</v>
      </c>
      <c r="V14" s="75" t="s">
        <v>548</v>
      </c>
      <c r="W14" s="202">
        <v>44123</v>
      </c>
      <c r="X14" s="222" t="s">
        <v>549</v>
      </c>
      <c r="Y14" s="204" t="s">
        <v>545</v>
      </c>
      <c r="Z14" s="131"/>
      <c r="AA14" s="131" t="s">
        <v>66</v>
      </c>
      <c r="AB14" s="132"/>
      <c r="AC14" s="131"/>
      <c r="AD14" s="131"/>
      <c r="AE14" s="134">
        <v>45915</v>
      </c>
      <c r="AF14" s="132"/>
      <c r="AG14" s="132"/>
      <c r="AH14" s="205"/>
      <c r="AI14" s="131">
        <v>36</v>
      </c>
      <c r="AJ14" s="131"/>
      <c r="AK14" s="131" t="s">
        <v>81</v>
      </c>
      <c r="AL14" s="131"/>
      <c r="AM14" s="132">
        <v>46037</v>
      </c>
      <c r="AN14" s="130" t="s">
        <v>68</v>
      </c>
      <c r="AO14" s="131" t="s">
        <v>66</v>
      </c>
      <c r="AP14" s="131" t="s">
        <v>64</v>
      </c>
      <c r="AQ14" s="131" t="s">
        <v>64</v>
      </c>
      <c r="AR14" s="75" t="s">
        <v>551</v>
      </c>
      <c r="AS14" s="293" t="s">
        <v>102</v>
      </c>
      <c r="AT14" s="147" t="s">
        <v>66</v>
      </c>
      <c r="AU14" s="140" t="s">
        <v>98</v>
      </c>
      <c r="AV14" s="133"/>
      <c r="AW14" s="132" t="s">
        <v>98</v>
      </c>
      <c r="AX14" s="132" t="s">
        <v>98</v>
      </c>
      <c r="AY14" s="133"/>
      <c r="AZ14" s="132" t="s">
        <v>98</v>
      </c>
      <c r="BA14" s="133"/>
      <c r="BB14" s="131">
        <v>2026</v>
      </c>
      <c r="BC14" s="132" t="s">
        <v>98</v>
      </c>
      <c r="BD14" s="133"/>
      <c r="BE14" s="133" t="s">
        <v>71</v>
      </c>
      <c r="BF14" s="132" t="s">
        <v>71</v>
      </c>
      <c r="BG14" s="133" t="s">
        <v>71</v>
      </c>
      <c r="BH14" s="132" t="s">
        <v>71</v>
      </c>
      <c r="BI14" s="133" t="s">
        <v>71</v>
      </c>
      <c r="BJ14" s="322" t="s">
        <v>75</v>
      </c>
      <c r="BK14" s="314" t="s">
        <v>528</v>
      </c>
      <c r="BL14" s="322">
        <v>46066</v>
      </c>
      <c r="BM14" s="322" t="s">
        <v>75</v>
      </c>
      <c r="BN14" s="322" t="s">
        <v>66</v>
      </c>
      <c r="BO14" s="322" t="s">
        <v>66</v>
      </c>
      <c r="BP14" s="135"/>
    </row>
    <row r="15" spans="1:69" ht="22.2">
      <c r="A15" s="115" t="s">
        <v>117</v>
      </c>
      <c r="B15" s="115"/>
      <c r="C15" s="117"/>
      <c r="D15" s="113"/>
      <c r="E15" s="117"/>
      <c r="F15" s="115" t="s">
        <v>543</v>
      </c>
      <c r="G15" s="203" t="s">
        <v>70</v>
      </c>
      <c r="H15" s="117" t="s">
        <v>76</v>
      </c>
      <c r="I15" s="117" t="s">
        <v>63</v>
      </c>
      <c r="J15" s="117"/>
      <c r="K15" s="117"/>
      <c r="L15" s="113">
        <v>46070</v>
      </c>
      <c r="M15" s="76">
        <v>46129</v>
      </c>
      <c r="N15" s="76" t="s">
        <v>545</v>
      </c>
      <c r="O15" s="75" t="s">
        <v>547</v>
      </c>
      <c r="P15" s="75" t="s">
        <v>546</v>
      </c>
      <c r="Q15" s="113">
        <v>46779</v>
      </c>
      <c r="R15" s="113">
        <v>47061</v>
      </c>
      <c r="S15" s="122" t="s">
        <v>64</v>
      </c>
      <c r="T15" s="142" t="s">
        <v>77</v>
      </c>
      <c r="U15" s="75" t="s">
        <v>549</v>
      </c>
      <c r="V15" s="75" t="s">
        <v>548</v>
      </c>
      <c r="W15" s="203">
        <v>22023</v>
      </c>
      <c r="X15" s="222" t="s">
        <v>549</v>
      </c>
      <c r="Y15" s="204" t="s">
        <v>545</v>
      </c>
      <c r="Z15" s="117"/>
      <c r="AA15" s="117" t="s">
        <v>69</v>
      </c>
      <c r="AB15" s="113"/>
      <c r="AC15" s="117"/>
      <c r="AD15" s="117"/>
      <c r="AE15" s="113">
        <v>45397</v>
      </c>
      <c r="AF15" s="113"/>
      <c r="AG15" s="113">
        <v>45442</v>
      </c>
      <c r="AH15" s="117"/>
      <c r="AI15" s="117">
        <v>36</v>
      </c>
      <c r="AJ15" s="117"/>
      <c r="AK15" s="117" t="s">
        <v>81</v>
      </c>
      <c r="AL15" s="117">
        <v>3</v>
      </c>
      <c r="AM15" s="113">
        <v>45760</v>
      </c>
      <c r="AN15" s="115" t="s">
        <v>68</v>
      </c>
      <c r="AO15" s="117" t="s">
        <v>69</v>
      </c>
      <c r="AP15" s="117">
        <v>6</v>
      </c>
      <c r="AQ15" s="117">
        <v>2025</v>
      </c>
      <c r="AR15" s="75" t="s">
        <v>551</v>
      </c>
      <c r="AS15" s="294" t="s">
        <v>118</v>
      </c>
      <c r="AT15" s="117" t="s">
        <v>66</v>
      </c>
      <c r="AU15" s="137">
        <v>45474</v>
      </c>
      <c r="AV15" s="122" t="s">
        <v>93</v>
      </c>
      <c r="AW15" s="113">
        <v>45730</v>
      </c>
      <c r="AX15" s="113">
        <v>45730</v>
      </c>
      <c r="AY15" s="122">
        <v>47556</v>
      </c>
      <c r="AZ15" s="113">
        <v>45851</v>
      </c>
      <c r="BA15" s="122">
        <v>47677</v>
      </c>
      <c r="BB15" s="117">
        <v>2026</v>
      </c>
      <c r="BC15" s="122">
        <v>45536</v>
      </c>
      <c r="BD15" s="122">
        <v>47362</v>
      </c>
      <c r="BE15" s="122" t="s">
        <v>71</v>
      </c>
      <c r="BF15" s="113" t="s">
        <v>71</v>
      </c>
      <c r="BG15" s="122" t="s">
        <v>71</v>
      </c>
      <c r="BH15" s="113" t="s">
        <v>71</v>
      </c>
      <c r="BI15" s="122" t="s">
        <v>71</v>
      </c>
      <c r="BJ15" s="325" t="s">
        <v>117</v>
      </c>
      <c r="BK15" s="325"/>
      <c r="BL15" s="325"/>
      <c r="BM15" s="325" t="s">
        <v>117</v>
      </c>
      <c r="BN15" s="325"/>
      <c r="BO15" s="325"/>
      <c r="BP15" s="329" t="s">
        <v>531</v>
      </c>
    </row>
    <row r="16" spans="1:69" ht="19.350000000000001" customHeight="1">
      <c r="A16" s="75" t="s">
        <v>117</v>
      </c>
      <c r="B16" s="75"/>
      <c r="C16" s="77"/>
      <c r="D16" s="76"/>
      <c r="E16" s="77"/>
      <c r="F16" s="75" t="s">
        <v>543</v>
      </c>
      <c r="G16" s="199" t="s">
        <v>78</v>
      </c>
      <c r="H16" s="77" t="s">
        <v>76</v>
      </c>
      <c r="I16" s="77" t="s">
        <v>63</v>
      </c>
      <c r="J16" s="77"/>
      <c r="K16" s="77"/>
      <c r="L16" s="76"/>
      <c r="M16" s="76"/>
      <c r="N16" s="76" t="s">
        <v>545</v>
      </c>
      <c r="O16" s="75" t="s">
        <v>547</v>
      </c>
      <c r="P16" s="75" t="s">
        <v>546</v>
      </c>
      <c r="Q16" s="76">
        <v>46605</v>
      </c>
      <c r="R16" s="76">
        <v>46290</v>
      </c>
      <c r="S16" s="78" t="s">
        <v>64</v>
      </c>
      <c r="T16" s="75" t="s">
        <v>80</v>
      </c>
      <c r="U16" s="75" t="s">
        <v>549</v>
      </c>
      <c r="V16" s="75" t="s">
        <v>548</v>
      </c>
      <c r="W16" s="199">
        <v>22100</v>
      </c>
      <c r="X16" s="222" t="s">
        <v>549</v>
      </c>
      <c r="Y16" s="204" t="s">
        <v>545</v>
      </c>
      <c r="Z16" s="77"/>
      <c r="AA16" s="77" t="s">
        <v>69</v>
      </c>
      <c r="AB16" s="76"/>
      <c r="AC16" s="77"/>
      <c r="AD16" s="77"/>
      <c r="AE16" s="76">
        <v>44867</v>
      </c>
      <c r="AF16" s="76"/>
      <c r="AG16" s="76"/>
      <c r="AH16" s="77"/>
      <c r="AI16" s="77">
        <v>36</v>
      </c>
      <c r="AJ16" s="77"/>
      <c r="AK16" s="77" t="s">
        <v>81</v>
      </c>
      <c r="AL16" s="77">
        <v>3</v>
      </c>
      <c r="AM16" s="76">
        <v>44958</v>
      </c>
      <c r="AN16" s="75" t="s">
        <v>68</v>
      </c>
      <c r="AO16" s="77" t="s">
        <v>66</v>
      </c>
      <c r="AP16" s="77">
        <v>1</v>
      </c>
      <c r="AQ16" s="77">
        <v>2023</v>
      </c>
      <c r="AR16" s="75" t="s">
        <v>551</v>
      </c>
      <c r="AS16" s="295" t="s">
        <v>119</v>
      </c>
      <c r="AT16" s="77" t="s">
        <v>66</v>
      </c>
      <c r="AU16" s="110">
        <v>44915</v>
      </c>
      <c r="AV16" s="78">
        <v>46741</v>
      </c>
      <c r="AW16" s="76">
        <v>44907</v>
      </c>
      <c r="AX16" s="76">
        <v>44907</v>
      </c>
      <c r="AY16" s="78">
        <v>46733</v>
      </c>
      <c r="AZ16" s="76" t="s">
        <v>71</v>
      </c>
      <c r="BA16" s="78" t="s">
        <v>71</v>
      </c>
      <c r="BB16" s="77" t="s">
        <v>71</v>
      </c>
      <c r="BC16" s="78" t="s">
        <v>71</v>
      </c>
      <c r="BD16" s="78" t="s">
        <v>71</v>
      </c>
      <c r="BE16" s="78" t="s">
        <v>71</v>
      </c>
      <c r="BF16" s="76" t="s">
        <v>71</v>
      </c>
      <c r="BG16" s="78" t="s">
        <v>71</v>
      </c>
      <c r="BH16" s="76">
        <v>44907</v>
      </c>
      <c r="BI16" s="78">
        <v>46733</v>
      </c>
      <c r="BJ16" s="312" t="s">
        <v>117</v>
      </c>
      <c r="BK16" s="312" t="s">
        <v>505</v>
      </c>
      <c r="BL16" s="317">
        <v>46065</v>
      </c>
      <c r="BM16" s="312" t="s">
        <v>117</v>
      </c>
      <c r="BN16" s="317" t="s">
        <v>66</v>
      </c>
      <c r="BO16" s="320"/>
      <c r="BP16" s="139"/>
    </row>
    <row r="17" spans="1:69" s="88" customFormat="1" ht="19.350000000000001" customHeight="1" thickBot="1">
      <c r="A17" s="130" t="s">
        <v>117</v>
      </c>
      <c r="B17" s="130"/>
      <c r="C17" s="202"/>
      <c r="D17" s="132"/>
      <c r="E17" s="205"/>
      <c r="F17" s="130" t="s">
        <v>543</v>
      </c>
      <c r="G17" s="202" t="s">
        <v>90</v>
      </c>
      <c r="H17" s="131" t="s">
        <v>76</v>
      </c>
      <c r="I17" s="131" t="s">
        <v>63</v>
      </c>
      <c r="J17" s="131"/>
      <c r="K17" s="131"/>
      <c r="L17" s="132"/>
      <c r="M17" s="132"/>
      <c r="N17" s="76" t="s">
        <v>545</v>
      </c>
      <c r="O17" s="75" t="s">
        <v>547</v>
      </c>
      <c r="P17" s="75" t="s">
        <v>546</v>
      </c>
      <c r="Q17" s="132">
        <v>47243</v>
      </c>
      <c r="R17" s="132">
        <v>45834</v>
      </c>
      <c r="S17" s="279" t="s">
        <v>121</v>
      </c>
      <c r="T17" s="144" t="s">
        <v>77</v>
      </c>
      <c r="U17" s="75" t="s">
        <v>549</v>
      </c>
      <c r="V17" s="75" t="s">
        <v>548</v>
      </c>
      <c r="W17" s="202">
        <v>20822</v>
      </c>
      <c r="X17" s="222" t="s">
        <v>549</v>
      </c>
      <c r="Y17" s="204" t="s">
        <v>545</v>
      </c>
      <c r="Z17" s="132">
        <v>45691</v>
      </c>
      <c r="AA17" s="131" t="s">
        <v>69</v>
      </c>
      <c r="AB17" s="132"/>
      <c r="AC17" s="131"/>
      <c r="AD17" s="131"/>
      <c r="AE17" s="134">
        <v>45748</v>
      </c>
      <c r="AF17" s="132"/>
      <c r="AG17" s="132"/>
      <c r="AH17" s="205"/>
      <c r="AI17" s="131">
        <v>40</v>
      </c>
      <c r="AJ17" s="131"/>
      <c r="AK17" s="131" t="s">
        <v>81</v>
      </c>
      <c r="AL17" s="131"/>
      <c r="AM17" s="132"/>
      <c r="AN17" s="130" t="s">
        <v>68</v>
      </c>
      <c r="AO17" s="131" t="s">
        <v>69</v>
      </c>
      <c r="AP17" s="131" t="s">
        <v>64</v>
      </c>
      <c r="AQ17" s="131" t="s">
        <v>64</v>
      </c>
      <c r="AR17" s="75" t="s">
        <v>551</v>
      </c>
      <c r="AS17" s="290" t="s">
        <v>122</v>
      </c>
      <c r="AT17" s="131" t="s">
        <v>71</v>
      </c>
      <c r="AU17" s="140">
        <v>45957</v>
      </c>
      <c r="AV17" s="133">
        <v>47783</v>
      </c>
      <c r="AW17" s="132">
        <v>46075</v>
      </c>
      <c r="AX17" s="132">
        <v>46075</v>
      </c>
      <c r="AY17" s="133">
        <v>47901</v>
      </c>
      <c r="AZ17" s="132" t="s">
        <v>71</v>
      </c>
      <c r="BA17" s="133" t="s">
        <v>71</v>
      </c>
      <c r="BB17" s="131" t="s">
        <v>71</v>
      </c>
      <c r="BC17" s="133" t="s">
        <v>71</v>
      </c>
      <c r="BD17" s="133" t="s">
        <v>71</v>
      </c>
      <c r="BE17" s="133" t="s">
        <v>71</v>
      </c>
      <c r="BF17" s="132" t="s">
        <v>71</v>
      </c>
      <c r="BG17" s="133" t="s">
        <v>71</v>
      </c>
      <c r="BH17" s="132" t="s">
        <v>71</v>
      </c>
      <c r="BI17" s="133" t="s">
        <v>71</v>
      </c>
      <c r="BJ17" s="314" t="s">
        <v>117</v>
      </c>
      <c r="BK17" s="314" t="s">
        <v>506</v>
      </c>
      <c r="BL17" s="317">
        <v>46065</v>
      </c>
      <c r="BM17" s="312" t="s">
        <v>117</v>
      </c>
      <c r="BN17" s="317" t="s">
        <v>66</v>
      </c>
      <c r="BO17" s="320"/>
      <c r="BP17" s="135"/>
      <c r="BQ17" s="81"/>
    </row>
    <row r="18" spans="1:69" ht="19.350000000000001" customHeight="1">
      <c r="A18" s="75" t="s">
        <v>99</v>
      </c>
      <c r="B18" s="77"/>
      <c r="C18" s="75"/>
      <c r="D18" s="76"/>
      <c r="E18" s="75"/>
      <c r="F18" s="115" t="s">
        <v>543</v>
      </c>
      <c r="G18" s="119" t="s">
        <v>90</v>
      </c>
      <c r="H18" s="77" t="s">
        <v>76</v>
      </c>
      <c r="I18" s="77" t="s">
        <v>63</v>
      </c>
      <c r="J18" s="77"/>
      <c r="K18" s="77"/>
      <c r="L18" s="76"/>
      <c r="M18" s="76"/>
      <c r="N18" s="76" t="s">
        <v>545</v>
      </c>
      <c r="O18" s="75" t="s">
        <v>547</v>
      </c>
      <c r="P18" s="75" t="s">
        <v>546</v>
      </c>
      <c r="Q18" s="76" t="s">
        <v>123</v>
      </c>
      <c r="R18" s="76" t="s">
        <v>124</v>
      </c>
      <c r="S18" s="76"/>
      <c r="T18" s="80" t="s">
        <v>77</v>
      </c>
      <c r="U18" s="75" t="s">
        <v>549</v>
      </c>
      <c r="V18" s="75" t="s">
        <v>548</v>
      </c>
      <c r="W18" s="199">
        <v>29770</v>
      </c>
      <c r="X18" s="222" t="s">
        <v>549</v>
      </c>
      <c r="Y18" s="204" t="s">
        <v>545</v>
      </c>
      <c r="Z18" s="77"/>
      <c r="AA18" s="77" t="s">
        <v>69</v>
      </c>
      <c r="AB18" s="76"/>
      <c r="AC18" s="77"/>
      <c r="AD18" s="77"/>
      <c r="AE18" s="76">
        <v>46098</v>
      </c>
      <c r="AF18" s="76"/>
      <c r="AG18" s="76">
        <v>46278</v>
      </c>
      <c r="AH18" s="119"/>
      <c r="AI18" s="119">
        <v>40</v>
      </c>
      <c r="AJ18" s="119"/>
      <c r="AK18" s="119" t="s">
        <v>81</v>
      </c>
      <c r="AL18" s="119"/>
      <c r="AM18" s="111"/>
      <c r="AN18" s="112" t="s">
        <v>68</v>
      </c>
      <c r="AO18" s="119" t="s">
        <v>69</v>
      </c>
      <c r="AP18" s="119"/>
      <c r="AQ18" s="119"/>
      <c r="AR18" s="75" t="s">
        <v>551</v>
      </c>
      <c r="AS18" s="284" t="s">
        <v>102</v>
      </c>
      <c r="AT18" s="119" t="s">
        <v>71</v>
      </c>
      <c r="AU18" s="231" t="s">
        <v>95</v>
      </c>
      <c r="AV18" s="121"/>
      <c r="AW18" s="111" t="s">
        <v>95</v>
      </c>
      <c r="AX18" s="111" t="s">
        <v>95</v>
      </c>
      <c r="AY18" s="121"/>
      <c r="AZ18" s="111"/>
      <c r="BA18" s="121"/>
      <c r="BB18" s="112"/>
      <c r="BC18" s="136"/>
      <c r="BD18" s="121"/>
      <c r="BE18" s="121"/>
      <c r="BF18" s="111"/>
      <c r="BG18" s="121"/>
      <c r="BH18" s="111"/>
      <c r="BI18" s="121"/>
      <c r="BJ18" s="328"/>
      <c r="BK18" s="328"/>
      <c r="BL18" s="328"/>
      <c r="BM18" s="323" t="s">
        <v>99</v>
      </c>
      <c r="BN18" s="323"/>
      <c r="BO18" s="323"/>
      <c r="BP18" s="141"/>
    </row>
    <row r="19" spans="1:69" ht="19.350000000000001" customHeight="1">
      <c r="A19" s="75" t="s">
        <v>99</v>
      </c>
      <c r="B19" s="77" t="s">
        <v>100</v>
      </c>
      <c r="C19" s="76">
        <v>46041</v>
      </c>
      <c r="D19" s="76">
        <v>46203</v>
      </c>
      <c r="E19" s="76"/>
      <c r="F19" s="75" t="s">
        <v>543</v>
      </c>
      <c r="G19" s="199" t="s">
        <v>70</v>
      </c>
      <c r="H19" s="77" t="s">
        <v>76</v>
      </c>
      <c r="I19" s="77" t="s">
        <v>63</v>
      </c>
      <c r="J19" s="77"/>
      <c r="K19" s="77"/>
      <c r="L19" s="76"/>
      <c r="M19" s="76"/>
      <c r="N19" s="76" t="s">
        <v>545</v>
      </c>
      <c r="O19" s="75" t="s">
        <v>547</v>
      </c>
      <c r="P19" s="75" t="s">
        <v>546</v>
      </c>
      <c r="Q19" s="76">
        <v>48989</v>
      </c>
      <c r="R19" s="76">
        <v>46097</v>
      </c>
      <c r="S19" s="78" t="s">
        <v>64</v>
      </c>
      <c r="T19" s="75" t="s">
        <v>77</v>
      </c>
      <c r="U19" s="75" t="s">
        <v>549</v>
      </c>
      <c r="V19" s="75" t="s">
        <v>548</v>
      </c>
      <c r="W19" s="199">
        <v>20900</v>
      </c>
      <c r="X19" s="222" t="s">
        <v>549</v>
      </c>
      <c r="Y19" s="204" t="s">
        <v>545</v>
      </c>
      <c r="Z19" s="76">
        <v>45915</v>
      </c>
      <c r="AA19" s="77" t="s">
        <v>69</v>
      </c>
      <c r="AB19" s="76"/>
      <c r="AC19" s="77"/>
      <c r="AD19" s="77"/>
      <c r="AE19" s="76">
        <v>45976</v>
      </c>
      <c r="AF19" s="76"/>
      <c r="AG19" s="76"/>
      <c r="AH19" s="77"/>
      <c r="AI19" s="77">
        <v>36</v>
      </c>
      <c r="AJ19" s="77"/>
      <c r="AK19" s="77" t="s">
        <v>81</v>
      </c>
      <c r="AL19" s="77"/>
      <c r="AM19" s="76"/>
      <c r="AN19" s="75" t="s">
        <v>68</v>
      </c>
      <c r="AO19" s="77" t="s">
        <v>66</v>
      </c>
      <c r="AP19" s="77">
        <v>1</v>
      </c>
      <c r="AQ19" s="77">
        <v>2026</v>
      </c>
      <c r="AR19" s="75" t="s">
        <v>551</v>
      </c>
      <c r="AS19" s="286" t="s">
        <v>112</v>
      </c>
      <c r="AT19" s="77" t="s">
        <v>66</v>
      </c>
      <c r="AU19" s="110">
        <v>46129</v>
      </c>
      <c r="AV19" s="76">
        <v>46494</v>
      </c>
      <c r="AW19" s="76" t="s">
        <v>98</v>
      </c>
      <c r="AX19" s="76" t="s">
        <v>98</v>
      </c>
      <c r="AY19" s="78"/>
      <c r="AZ19" s="76" t="s">
        <v>113</v>
      </c>
      <c r="BA19" s="78"/>
      <c r="BB19" s="77">
        <v>2026</v>
      </c>
      <c r="BC19" s="76" t="s">
        <v>113</v>
      </c>
      <c r="BD19" s="78"/>
      <c r="BE19" s="78" t="s">
        <v>71</v>
      </c>
      <c r="BF19" s="76" t="s">
        <v>71</v>
      </c>
      <c r="BG19" s="78" t="s">
        <v>71</v>
      </c>
      <c r="BH19" s="76" t="s">
        <v>71</v>
      </c>
      <c r="BI19" s="78" t="s">
        <v>71</v>
      </c>
      <c r="BJ19" s="317" t="s">
        <v>100</v>
      </c>
      <c r="BK19" s="312" t="s">
        <v>524</v>
      </c>
      <c r="BL19" s="317">
        <v>46071</v>
      </c>
      <c r="BM19" s="317" t="s">
        <v>100</v>
      </c>
      <c r="BN19" s="317" t="s">
        <v>66</v>
      </c>
      <c r="BO19" s="317" t="s">
        <v>66</v>
      </c>
      <c r="BP19" s="139"/>
    </row>
    <row r="20" spans="1:69" ht="19.350000000000001" customHeight="1">
      <c r="A20" s="75" t="s">
        <v>99</v>
      </c>
      <c r="B20" s="75"/>
      <c r="C20" s="77"/>
      <c r="D20" s="76"/>
      <c r="E20" s="77"/>
      <c r="F20" s="75" t="s">
        <v>543</v>
      </c>
      <c r="G20" s="199" t="s">
        <v>70</v>
      </c>
      <c r="H20" s="77" t="s">
        <v>76</v>
      </c>
      <c r="I20" s="77" t="s">
        <v>63</v>
      </c>
      <c r="J20" s="77"/>
      <c r="K20" s="77"/>
      <c r="L20" s="76"/>
      <c r="M20" s="76"/>
      <c r="N20" s="76" t="s">
        <v>545</v>
      </c>
      <c r="O20" s="75" t="s">
        <v>547</v>
      </c>
      <c r="P20" s="75" t="s">
        <v>546</v>
      </c>
      <c r="Q20" s="76">
        <v>48715</v>
      </c>
      <c r="R20" s="76">
        <v>46702</v>
      </c>
      <c r="S20" s="78" t="s">
        <v>64</v>
      </c>
      <c r="T20" s="75" t="s">
        <v>80</v>
      </c>
      <c r="U20" s="75" t="s">
        <v>549</v>
      </c>
      <c r="V20" s="75" t="s">
        <v>548</v>
      </c>
      <c r="W20" s="199">
        <v>20162</v>
      </c>
      <c r="X20" s="222" t="s">
        <v>549</v>
      </c>
      <c r="Y20" s="204" t="s">
        <v>545</v>
      </c>
      <c r="Z20" s="77"/>
      <c r="AA20" s="77" t="s">
        <v>69</v>
      </c>
      <c r="AB20" s="76"/>
      <c r="AC20" s="77"/>
      <c r="AD20" s="77"/>
      <c r="AE20" s="76">
        <v>44805</v>
      </c>
      <c r="AF20" s="76"/>
      <c r="AG20" s="76"/>
      <c r="AH20" s="77"/>
      <c r="AI20" s="77">
        <v>36</v>
      </c>
      <c r="AJ20" s="77"/>
      <c r="AK20" s="77" t="s">
        <v>81</v>
      </c>
      <c r="AL20" s="77"/>
      <c r="AM20" s="76"/>
      <c r="AN20" s="75" t="s">
        <v>68</v>
      </c>
      <c r="AO20" s="77" t="s">
        <v>66</v>
      </c>
      <c r="AP20" s="77">
        <v>12</v>
      </c>
      <c r="AQ20" s="77">
        <v>2022</v>
      </c>
      <c r="AR20" s="75" t="s">
        <v>551</v>
      </c>
      <c r="AS20" s="292" t="s">
        <v>125</v>
      </c>
      <c r="AT20" s="77" t="s">
        <v>66</v>
      </c>
      <c r="AU20" s="110">
        <v>46057</v>
      </c>
      <c r="AV20" s="78">
        <v>46422</v>
      </c>
      <c r="AW20" s="76">
        <v>44908</v>
      </c>
      <c r="AX20" s="76">
        <v>44908</v>
      </c>
      <c r="AY20" s="78">
        <v>46734</v>
      </c>
      <c r="AZ20" s="76">
        <v>44908</v>
      </c>
      <c r="BA20" s="78">
        <v>46734</v>
      </c>
      <c r="BB20" s="77">
        <v>2026</v>
      </c>
      <c r="BC20" s="76">
        <v>44882</v>
      </c>
      <c r="BD20" s="78">
        <v>46708</v>
      </c>
      <c r="BE20" s="78" t="s">
        <v>71</v>
      </c>
      <c r="BF20" s="76" t="s">
        <v>71</v>
      </c>
      <c r="BG20" s="78" t="s">
        <v>71</v>
      </c>
      <c r="BH20" s="76">
        <v>44909</v>
      </c>
      <c r="BI20" s="78">
        <v>46735</v>
      </c>
      <c r="BJ20" s="317" t="s">
        <v>99</v>
      </c>
      <c r="BK20" s="312" t="s">
        <v>503</v>
      </c>
      <c r="BL20" s="317">
        <v>46066</v>
      </c>
      <c r="BM20" s="317" t="s">
        <v>99</v>
      </c>
      <c r="BN20" s="317" t="s">
        <v>66</v>
      </c>
      <c r="BO20" s="317" t="s">
        <v>66</v>
      </c>
      <c r="BP20" s="139"/>
    </row>
    <row r="21" spans="1:69" ht="19.350000000000001" customHeight="1" thickBot="1">
      <c r="A21" s="130" t="s">
        <v>99</v>
      </c>
      <c r="B21" s="131" t="s">
        <v>88</v>
      </c>
      <c r="C21" s="132">
        <v>46144</v>
      </c>
      <c r="D21" s="132">
        <v>46158</v>
      </c>
      <c r="E21" s="132"/>
      <c r="F21" s="130" t="s">
        <v>543</v>
      </c>
      <c r="G21" s="202" t="s">
        <v>78</v>
      </c>
      <c r="H21" s="131" t="s">
        <v>76</v>
      </c>
      <c r="I21" s="131" t="s">
        <v>63</v>
      </c>
      <c r="J21" s="131"/>
      <c r="K21" s="131"/>
      <c r="L21" s="132"/>
      <c r="M21" s="132"/>
      <c r="N21" s="76" t="s">
        <v>545</v>
      </c>
      <c r="O21" s="75" t="s">
        <v>547</v>
      </c>
      <c r="P21" s="75" t="s">
        <v>546</v>
      </c>
      <c r="Q21" s="132">
        <v>47735</v>
      </c>
      <c r="R21" s="132">
        <v>46524</v>
      </c>
      <c r="S21" s="133"/>
      <c r="T21" s="130" t="s">
        <v>77</v>
      </c>
      <c r="U21" s="75" t="s">
        <v>549</v>
      </c>
      <c r="V21" s="75" t="s">
        <v>548</v>
      </c>
      <c r="W21" s="202">
        <v>20092</v>
      </c>
      <c r="X21" s="222" t="s">
        <v>549</v>
      </c>
      <c r="Y21" s="204" t="s">
        <v>545</v>
      </c>
      <c r="Z21" s="132">
        <v>46144</v>
      </c>
      <c r="AA21" s="131" t="s">
        <v>69</v>
      </c>
      <c r="AB21" s="132"/>
      <c r="AC21" s="131"/>
      <c r="AD21" s="131"/>
      <c r="AE21" s="132">
        <v>46144</v>
      </c>
      <c r="AF21" s="132">
        <v>46295</v>
      </c>
      <c r="AG21" s="132">
        <v>46153</v>
      </c>
      <c r="AH21" s="132"/>
      <c r="AI21" s="131">
        <v>36</v>
      </c>
      <c r="AJ21" s="132"/>
      <c r="AK21" s="131" t="s">
        <v>67</v>
      </c>
      <c r="AL21" s="131">
        <v>5</v>
      </c>
      <c r="AM21" s="132"/>
      <c r="AN21" s="130" t="s">
        <v>68</v>
      </c>
      <c r="AO21" s="131" t="s">
        <v>69</v>
      </c>
      <c r="AP21" s="131"/>
      <c r="AQ21" s="131"/>
      <c r="AR21" s="75" t="s">
        <v>551</v>
      </c>
      <c r="AS21" s="290" t="s">
        <v>102</v>
      </c>
      <c r="AT21" s="131" t="s">
        <v>71</v>
      </c>
      <c r="AU21" s="140" t="s">
        <v>474</v>
      </c>
      <c r="AV21" s="133"/>
      <c r="AW21" s="140" t="s">
        <v>474</v>
      </c>
      <c r="AX21" s="140" t="s">
        <v>474</v>
      </c>
      <c r="AY21" s="133"/>
      <c r="AZ21" s="132"/>
      <c r="BA21" s="133"/>
      <c r="BB21" s="131"/>
      <c r="BC21" s="279"/>
      <c r="BD21" s="133"/>
      <c r="BE21" s="133"/>
      <c r="BF21" s="132"/>
      <c r="BG21" s="133"/>
      <c r="BH21" s="132"/>
      <c r="BI21" s="133"/>
      <c r="BJ21" s="314"/>
      <c r="BK21" s="314"/>
      <c r="BL21" s="314"/>
      <c r="BM21" s="314"/>
      <c r="BN21" s="314"/>
      <c r="BO21" s="314"/>
      <c r="BP21" s="135"/>
    </row>
    <row r="22" spans="1:69" ht="19.350000000000001" customHeight="1">
      <c r="A22" s="115" t="s">
        <v>88</v>
      </c>
      <c r="B22" s="117" t="s">
        <v>61</v>
      </c>
      <c r="C22" s="113">
        <v>46022</v>
      </c>
      <c r="D22" s="113">
        <v>46203</v>
      </c>
      <c r="E22" s="113"/>
      <c r="F22" s="115" t="s">
        <v>543</v>
      </c>
      <c r="G22" s="203" t="s">
        <v>70</v>
      </c>
      <c r="H22" s="117" t="s">
        <v>76</v>
      </c>
      <c r="I22" s="117" t="s">
        <v>63</v>
      </c>
      <c r="J22" s="117"/>
      <c r="K22" s="117"/>
      <c r="L22" s="113">
        <v>45196</v>
      </c>
      <c r="M22" s="113">
        <v>45763</v>
      </c>
      <c r="N22" s="76" t="s">
        <v>545</v>
      </c>
      <c r="O22" s="75" t="s">
        <v>547</v>
      </c>
      <c r="P22" s="75" t="s">
        <v>546</v>
      </c>
      <c r="Q22" s="113">
        <v>48579</v>
      </c>
      <c r="R22" s="113">
        <v>46890</v>
      </c>
      <c r="S22" s="122" t="s">
        <v>64</v>
      </c>
      <c r="T22" s="142" t="s">
        <v>77</v>
      </c>
      <c r="U22" s="75" t="s">
        <v>549</v>
      </c>
      <c r="V22" s="75" t="s">
        <v>548</v>
      </c>
      <c r="W22" s="203">
        <v>20812</v>
      </c>
      <c r="X22" s="222" t="s">
        <v>549</v>
      </c>
      <c r="Y22" s="204" t="s">
        <v>545</v>
      </c>
      <c r="Z22" s="117"/>
      <c r="AA22" s="117" t="s">
        <v>69</v>
      </c>
      <c r="AB22" s="113"/>
      <c r="AC22" s="117"/>
      <c r="AD22" s="117"/>
      <c r="AE22" s="113">
        <v>44959</v>
      </c>
      <c r="AF22" s="113"/>
      <c r="AG22" s="113"/>
      <c r="AH22" s="113"/>
      <c r="AI22" s="117">
        <v>36</v>
      </c>
      <c r="AJ22" s="113"/>
      <c r="AK22" s="117" t="s">
        <v>81</v>
      </c>
      <c r="AL22" s="117"/>
      <c r="AM22" s="113"/>
      <c r="AN22" s="115" t="s">
        <v>68</v>
      </c>
      <c r="AO22" s="117" t="s">
        <v>66</v>
      </c>
      <c r="AP22" s="117">
        <v>4</v>
      </c>
      <c r="AQ22" s="117">
        <v>2023</v>
      </c>
      <c r="AR22" s="75" t="s">
        <v>551</v>
      </c>
      <c r="AS22" s="296" t="s">
        <v>131</v>
      </c>
      <c r="AT22" s="123" t="s">
        <v>66</v>
      </c>
      <c r="AU22" s="137">
        <v>45957</v>
      </c>
      <c r="AV22" s="122">
        <v>46322</v>
      </c>
      <c r="AW22" s="113">
        <v>45904</v>
      </c>
      <c r="AX22" s="113">
        <v>45904</v>
      </c>
      <c r="AY22" s="122">
        <v>47730</v>
      </c>
      <c r="AZ22" s="113">
        <v>45944</v>
      </c>
      <c r="BA22" s="122">
        <v>47770</v>
      </c>
      <c r="BB22" s="117">
        <v>2026</v>
      </c>
      <c r="BC22" s="122">
        <v>45837</v>
      </c>
      <c r="BD22" s="122">
        <v>47663</v>
      </c>
      <c r="BE22" s="122" t="s">
        <v>71</v>
      </c>
      <c r="BF22" s="113" t="s">
        <v>71</v>
      </c>
      <c r="BG22" s="122" t="s">
        <v>71</v>
      </c>
      <c r="BH22" s="113" t="s">
        <v>71</v>
      </c>
      <c r="BI22" s="122" t="s">
        <v>71</v>
      </c>
      <c r="BJ22" s="321" t="s">
        <v>61</v>
      </c>
      <c r="BK22" s="321" t="s">
        <v>529</v>
      </c>
      <c r="BL22" s="321">
        <v>46084</v>
      </c>
      <c r="BM22" s="321" t="s">
        <v>61</v>
      </c>
      <c r="BN22" s="321" t="s">
        <v>66</v>
      </c>
      <c r="BO22" s="321" t="s">
        <v>66</v>
      </c>
      <c r="BP22" s="141"/>
    </row>
    <row r="23" spans="1:69" ht="19.8" customHeight="1" thickBot="1">
      <c r="A23" s="130" t="s">
        <v>88</v>
      </c>
      <c r="B23" s="130"/>
      <c r="C23" s="131"/>
      <c r="D23" s="132"/>
      <c r="E23" s="131"/>
      <c r="F23" s="130" t="s">
        <v>543</v>
      </c>
      <c r="G23" s="202" t="s">
        <v>78</v>
      </c>
      <c r="H23" s="131" t="s">
        <v>76</v>
      </c>
      <c r="I23" s="131" t="s">
        <v>63</v>
      </c>
      <c r="J23" s="131"/>
      <c r="K23" s="131"/>
      <c r="L23" s="132"/>
      <c r="M23" s="132"/>
      <c r="N23" s="76" t="s">
        <v>545</v>
      </c>
      <c r="O23" s="75" t="s">
        <v>547</v>
      </c>
      <c r="P23" s="75" t="s">
        <v>546</v>
      </c>
      <c r="Q23" s="132">
        <v>46834</v>
      </c>
      <c r="R23" s="132">
        <v>47963</v>
      </c>
      <c r="S23" s="133" t="s">
        <v>64</v>
      </c>
      <c r="T23" s="130" t="s">
        <v>80</v>
      </c>
      <c r="U23" s="75" t="s">
        <v>549</v>
      </c>
      <c r="V23" s="75" t="s">
        <v>548</v>
      </c>
      <c r="W23" s="202">
        <v>20814</v>
      </c>
      <c r="X23" s="222" t="s">
        <v>549</v>
      </c>
      <c r="Y23" s="204" t="s">
        <v>545</v>
      </c>
      <c r="Z23" s="132">
        <v>45302</v>
      </c>
      <c r="AA23" s="131" t="s">
        <v>69</v>
      </c>
      <c r="AB23" s="132">
        <v>46022</v>
      </c>
      <c r="AC23" s="131" t="s">
        <v>83</v>
      </c>
      <c r="AD23" s="131"/>
      <c r="AE23" s="132">
        <v>46024</v>
      </c>
      <c r="AF23" s="132"/>
      <c r="AG23" s="132"/>
      <c r="AH23" s="131"/>
      <c r="AI23" s="131">
        <v>36</v>
      </c>
      <c r="AJ23" s="131"/>
      <c r="AK23" s="131" t="s">
        <v>81</v>
      </c>
      <c r="AL23" s="131"/>
      <c r="AM23" s="132"/>
      <c r="AN23" s="130" t="s">
        <v>68</v>
      </c>
      <c r="AO23" s="131" t="s">
        <v>66</v>
      </c>
      <c r="AP23" s="131">
        <v>5</v>
      </c>
      <c r="AQ23" s="131">
        <v>2024</v>
      </c>
      <c r="AR23" s="75" t="s">
        <v>551</v>
      </c>
      <c r="AS23" s="273" t="s">
        <v>133</v>
      </c>
      <c r="AT23" s="131" t="s">
        <v>66</v>
      </c>
      <c r="AU23" s="140">
        <v>45474</v>
      </c>
      <c r="AV23" s="133">
        <v>47300</v>
      </c>
      <c r="AW23" s="132">
        <v>45758</v>
      </c>
      <c r="AX23" s="132">
        <v>45758</v>
      </c>
      <c r="AY23" s="133">
        <v>47584</v>
      </c>
      <c r="AZ23" s="132" t="s">
        <v>71</v>
      </c>
      <c r="BA23" s="133" t="s">
        <v>71</v>
      </c>
      <c r="BB23" s="131" t="s">
        <v>71</v>
      </c>
      <c r="BC23" s="133" t="s">
        <v>71</v>
      </c>
      <c r="BD23" s="133" t="s">
        <v>71</v>
      </c>
      <c r="BE23" s="133" t="s">
        <v>71</v>
      </c>
      <c r="BF23" s="132" t="s">
        <v>71</v>
      </c>
      <c r="BG23" s="133" t="s">
        <v>71</v>
      </c>
      <c r="BH23" s="132" t="s">
        <v>71</v>
      </c>
      <c r="BI23" s="133" t="s">
        <v>71</v>
      </c>
      <c r="BJ23" s="322" t="s">
        <v>88</v>
      </c>
      <c r="BK23" s="314" t="s">
        <v>492</v>
      </c>
      <c r="BL23" s="322">
        <v>46067</v>
      </c>
      <c r="BM23" s="322" t="s">
        <v>88</v>
      </c>
      <c r="BN23" s="322" t="s">
        <v>66</v>
      </c>
      <c r="BO23" s="318"/>
      <c r="BP23" s="135"/>
    </row>
    <row r="24" spans="1:69" s="89" customFormat="1" ht="21.9" customHeight="1">
      <c r="A24" s="75" t="s">
        <v>127</v>
      </c>
      <c r="B24" s="115"/>
      <c r="C24" s="117"/>
      <c r="D24" s="76"/>
      <c r="E24" s="117"/>
      <c r="F24" s="115" t="s">
        <v>543</v>
      </c>
      <c r="G24" s="199" t="s">
        <v>78</v>
      </c>
      <c r="H24" s="77" t="s">
        <v>76</v>
      </c>
      <c r="I24" s="77" t="s">
        <v>63</v>
      </c>
      <c r="J24" s="77"/>
      <c r="K24" s="77"/>
      <c r="L24" s="76"/>
      <c r="M24" s="76"/>
      <c r="N24" s="76" t="s">
        <v>545</v>
      </c>
      <c r="O24" s="75" t="s">
        <v>547</v>
      </c>
      <c r="P24" s="75" t="s">
        <v>546</v>
      </c>
      <c r="Q24" s="76">
        <v>46579</v>
      </c>
      <c r="R24" s="76">
        <v>46903</v>
      </c>
      <c r="S24" s="78" t="s">
        <v>64</v>
      </c>
      <c r="T24" s="80" t="s">
        <v>77</v>
      </c>
      <c r="U24" s="75" t="s">
        <v>549</v>
      </c>
      <c r="V24" s="75" t="s">
        <v>548</v>
      </c>
      <c r="W24" s="199">
        <v>20900</v>
      </c>
      <c r="X24" s="222" t="s">
        <v>549</v>
      </c>
      <c r="Y24" s="204" t="s">
        <v>545</v>
      </c>
      <c r="Z24" s="76">
        <v>45719</v>
      </c>
      <c r="AA24" s="77" t="s">
        <v>69</v>
      </c>
      <c r="AB24" s="76">
        <v>45913</v>
      </c>
      <c r="AC24" s="77"/>
      <c r="AD24" s="77"/>
      <c r="AE24" s="76">
        <v>45914</v>
      </c>
      <c r="AF24" s="76"/>
      <c r="AG24" s="76"/>
      <c r="AH24" s="77"/>
      <c r="AI24" s="77">
        <v>36</v>
      </c>
      <c r="AJ24" s="77"/>
      <c r="AK24" s="77" t="s">
        <v>81</v>
      </c>
      <c r="AL24" s="77"/>
      <c r="AM24" s="76">
        <v>45915</v>
      </c>
      <c r="AN24" s="75" t="s">
        <v>68</v>
      </c>
      <c r="AO24" s="77" t="s">
        <v>66</v>
      </c>
      <c r="AP24" s="77">
        <v>11</v>
      </c>
      <c r="AQ24" s="77">
        <v>2025</v>
      </c>
      <c r="AR24" s="75" t="s">
        <v>551</v>
      </c>
      <c r="AS24" s="286" t="s">
        <v>102</v>
      </c>
      <c r="AT24" s="77" t="s">
        <v>71</v>
      </c>
      <c r="AU24" s="110">
        <v>45957</v>
      </c>
      <c r="AV24" s="78">
        <v>47783</v>
      </c>
      <c r="AW24" s="76">
        <v>46056</v>
      </c>
      <c r="AX24" s="76">
        <v>46056</v>
      </c>
      <c r="AY24" s="78" t="s">
        <v>92</v>
      </c>
      <c r="AZ24" s="76" t="s">
        <v>71</v>
      </c>
      <c r="BA24" s="78" t="s">
        <v>71</v>
      </c>
      <c r="BB24" s="77" t="s">
        <v>71</v>
      </c>
      <c r="BC24" s="78" t="s">
        <v>71</v>
      </c>
      <c r="BD24" s="78" t="s">
        <v>71</v>
      </c>
      <c r="BE24" s="78">
        <v>45961</v>
      </c>
      <c r="BF24" s="76" t="s">
        <v>97</v>
      </c>
      <c r="BG24" s="78"/>
      <c r="BH24" s="76" t="s">
        <v>71</v>
      </c>
      <c r="BI24" s="78" t="s">
        <v>71</v>
      </c>
      <c r="BJ24" s="317" t="s">
        <v>127</v>
      </c>
      <c r="BK24" s="312" t="s">
        <v>500</v>
      </c>
      <c r="BL24" s="317">
        <v>46066</v>
      </c>
      <c r="BM24" s="317" t="s">
        <v>127</v>
      </c>
      <c r="BN24" s="317" t="s">
        <v>66</v>
      </c>
      <c r="BO24" s="320"/>
      <c r="BP24" s="139"/>
    </row>
    <row r="25" spans="1:69" s="89" customFormat="1" ht="19.350000000000001" customHeight="1">
      <c r="A25" s="138" t="s">
        <v>127</v>
      </c>
      <c r="B25" s="75"/>
      <c r="C25" s="77"/>
      <c r="D25" s="76"/>
      <c r="E25" s="77"/>
      <c r="F25" s="75" t="s">
        <v>543</v>
      </c>
      <c r="G25" s="199" t="s">
        <v>90</v>
      </c>
      <c r="H25" s="77" t="s">
        <v>76</v>
      </c>
      <c r="I25" s="77" t="s">
        <v>63</v>
      </c>
      <c r="J25" s="77"/>
      <c r="K25" s="77"/>
      <c r="L25" s="76"/>
      <c r="M25" s="76"/>
      <c r="N25" s="76" t="s">
        <v>545</v>
      </c>
      <c r="O25" s="75" t="s">
        <v>547</v>
      </c>
      <c r="P25" s="75" t="s">
        <v>546</v>
      </c>
      <c r="Q25" s="76">
        <v>49236</v>
      </c>
      <c r="R25" s="76">
        <v>46892</v>
      </c>
      <c r="S25" s="76" t="s">
        <v>64</v>
      </c>
      <c r="T25" s="75" t="s">
        <v>77</v>
      </c>
      <c r="U25" s="75" t="s">
        <v>549</v>
      </c>
      <c r="V25" s="75" t="s">
        <v>548</v>
      </c>
      <c r="W25" s="199">
        <v>20852</v>
      </c>
      <c r="X25" s="222" t="s">
        <v>549</v>
      </c>
      <c r="Y25" s="204" t="s">
        <v>545</v>
      </c>
      <c r="Z25" s="76">
        <v>45811</v>
      </c>
      <c r="AA25" s="77" t="s">
        <v>69</v>
      </c>
      <c r="AB25" s="76">
        <v>45991</v>
      </c>
      <c r="AC25" s="77" t="s">
        <v>83</v>
      </c>
      <c r="AD25" s="77"/>
      <c r="AE25" s="76">
        <v>45992</v>
      </c>
      <c r="AF25" s="76"/>
      <c r="AG25" s="76"/>
      <c r="AH25" s="77"/>
      <c r="AI25" s="77">
        <v>40</v>
      </c>
      <c r="AJ25" s="77"/>
      <c r="AK25" s="77" t="s">
        <v>81</v>
      </c>
      <c r="AL25" s="77"/>
      <c r="AM25" s="76"/>
      <c r="AN25" s="75" t="s">
        <v>68</v>
      </c>
      <c r="AO25" s="77" t="s">
        <v>69</v>
      </c>
      <c r="AP25" s="77" t="s">
        <v>64</v>
      </c>
      <c r="AQ25" s="77" t="s">
        <v>64</v>
      </c>
      <c r="AR25" s="75" t="s">
        <v>551</v>
      </c>
      <c r="AS25" s="286" t="s">
        <v>104</v>
      </c>
      <c r="AT25" s="77" t="s">
        <v>66</v>
      </c>
      <c r="AU25" s="110">
        <v>46042</v>
      </c>
      <c r="AV25" s="78">
        <v>47868</v>
      </c>
      <c r="AW25" s="76">
        <v>46103</v>
      </c>
      <c r="AX25" s="76">
        <v>46103</v>
      </c>
      <c r="AY25" s="78">
        <v>47929</v>
      </c>
      <c r="AZ25" s="76" t="s">
        <v>71</v>
      </c>
      <c r="BA25" s="78" t="s">
        <v>71</v>
      </c>
      <c r="BB25" s="77" t="s">
        <v>71</v>
      </c>
      <c r="BC25" s="78" t="s">
        <v>71</v>
      </c>
      <c r="BD25" s="78" t="s">
        <v>71</v>
      </c>
      <c r="BE25" s="78" t="s">
        <v>71</v>
      </c>
      <c r="BF25" s="76" t="s">
        <v>71</v>
      </c>
      <c r="BG25" s="78" t="s">
        <v>71</v>
      </c>
      <c r="BH25" s="76" t="s">
        <v>71</v>
      </c>
      <c r="BI25" s="78" t="s">
        <v>71</v>
      </c>
      <c r="BJ25" s="317" t="s">
        <v>127</v>
      </c>
      <c r="BK25" s="312" t="s">
        <v>501</v>
      </c>
      <c r="BL25" s="317">
        <v>46066</v>
      </c>
      <c r="BM25" s="317" t="s">
        <v>127</v>
      </c>
      <c r="BN25" s="317" t="s">
        <v>66</v>
      </c>
      <c r="BO25" s="320"/>
      <c r="BP25" s="139"/>
    </row>
    <row r="26" spans="1:69" ht="19.350000000000001" customHeight="1" thickBot="1">
      <c r="A26" s="130" t="s">
        <v>127</v>
      </c>
      <c r="B26" s="130"/>
      <c r="C26" s="202"/>
      <c r="D26" s="132"/>
      <c r="E26" s="205"/>
      <c r="F26" s="130" t="s">
        <v>543</v>
      </c>
      <c r="G26" s="202" t="s">
        <v>70</v>
      </c>
      <c r="H26" s="131" t="s">
        <v>76</v>
      </c>
      <c r="I26" s="131" t="s">
        <v>63</v>
      </c>
      <c r="J26" s="131"/>
      <c r="K26" s="131"/>
      <c r="L26" s="132"/>
      <c r="M26" s="132"/>
      <c r="N26" s="76" t="s">
        <v>545</v>
      </c>
      <c r="O26" s="75" t="s">
        <v>547</v>
      </c>
      <c r="P26" s="75" t="s">
        <v>546</v>
      </c>
      <c r="Q26" s="132">
        <v>47472</v>
      </c>
      <c r="R26" s="132">
        <v>46441</v>
      </c>
      <c r="S26" s="279" t="s">
        <v>64</v>
      </c>
      <c r="T26" s="130" t="s">
        <v>80</v>
      </c>
      <c r="U26" s="75" t="s">
        <v>549</v>
      </c>
      <c r="V26" s="75" t="s">
        <v>548</v>
      </c>
      <c r="W26" s="202">
        <v>23895</v>
      </c>
      <c r="X26" s="222" t="s">
        <v>549</v>
      </c>
      <c r="Y26" s="204" t="s">
        <v>545</v>
      </c>
      <c r="Z26" s="131"/>
      <c r="AA26" s="131" t="s">
        <v>66</v>
      </c>
      <c r="AB26" s="132"/>
      <c r="AC26" s="131"/>
      <c r="AD26" s="131"/>
      <c r="AE26" s="134">
        <v>44576</v>
      </c>
      <c r="AF26" s="132"/>
      <c r="AG26" s="132"/>
      <c r="AH26" s="205"/>
      <c r="AI26" s="131">
        <v>40</v>
      </c>
      <c r="AJ26" s="132">
        <v>45748</v>
      </c>
      <c r="AK26" s="131" t="s">
        <v>81</v>
      </c>
      <c r="AL26" s="131"/>
      <c r="AM26" s="132">
        <v>44805</v>
      </c>
      <c r="AN26" s="130" t="s">
        <v>68</v>
      </c>
      <c r="AO26" s="131" t="s">
        <v>66</v>
      </c>
      <c r="AP26" s="131">
        <v>5</v>
      </c>
      <c r="AQ26" s="131">
        <v>2022</v>
      </c>
      <c r="AR26" s="75" t="s">
        <v>551</v>
      </c>
      <c r="AS26" s="290" t="s">
        <v>86</v>
      </c>
      <c r="AT26" s="131" t="s">
        <v>66</v>
      </c>
      <c r="AU26" s="140">
        <v>45720</v>
      </c>
      <c r="AV26" s="133">
        <v>46085</v>
      </c>
      <c r="AW26" s="132">
        <v>44659</v>
      </c>
      <c r="AX26" s="132">
        <v>44659</v>
      </c>
      <c r="AY26" s="133">
        <v>46485</v>
      </c>
      <c r="AZ26" s="132">
        <v>44659</v>
      </c>
      <c r="BA26" s="133">
        <v>46485</v>
      </c>
      <c r="BB26" s="131">
        <v>2026</v>
      </c>
      <c r="BC26" s="133">
        <v>44866</v>
      </c>
      <c r="BD26" s="133">
        <v>46692</v>
      </c>
      <c r="BE26" s="133" t="s">
        <v>71</v>
      </c>
      <c r="BF26" s="132" t="s">
        <v>71</v>
      </c>
      <c r="BG26" s="133" t="s">
        <v>71</v>
      </c>
      <c r="BH26" s="132">
        <v>44659</v>
      </c>
      <c r="BI26" s="133">
        <v>46485</v>
      </c>
      <c r="BJ26" s="322" t="s">
        <v>127</v>
      </c>
      <c r="BK26" s="314" t="s">
        <v>502</v>
      </c>
      <c r="BL26" s="322">
        <v>46066</v>
      </c>
      <c r="BM26" s="322" t="s">
        <v>127</v>
      </c>
      <c r="BN26" s="322" t="s">
        <v>66</v>
      </c>
      <c r="BO26" s="322" t="s">
        <v>66</v>
      </c>
      <c r="BP26" s="135"/>
    </row>
    <row r="27" spans="1:69" ht="19.350000000000001" customHeight="1">
      <c r="A27" s="115" t="s">
        <v>129</v>
      </c>
      <c r="B27" s="115"/>
      <c r="C27" s="117"/>
      <c r="D27" s="113"/>
      <c r="E27" s="117"/>
      <c r="F27" s="115" t="s">
        <v>543</v>
      </c>
      <c r="G27" s="203" t="s">
        <v>78</v>
      </c>
      <c r="H27" s="117" t="s">
        <v>76</v>
      </c>
      <c r="I27" s="117" t="s">
        <v>63</v>
      </c>
      <c r="J27" s="117"/>
      <c r="K27" s="117"/>
      <c r="L27" s="113"/>
      <c r="M27" s="113"/>
      <c r="N27" s="76" t="s">
        <v>545</v>
      </c>
      <c r="O27" s="75" t="s">
        <v>547</v>
      </c>
      <c r="P27" s="75" t="s">
        <v>546</v>
      </c>
      <c r="Q27" s="113">
        <v>48825</v>
      </c>
      <c r="R27" s="113">
        <v>46316</v>
      </c>
      <c r="S27" s="122" t="s">
        <v>128</v>
      </c>
      <c r="T27" s="115" t="s">
        <v>72</v>
      </c>
      <c r="U27" s="75" t="s">
        <v>549</v>
      </c>
      <c r="V27" s="75" t="s">
        <v>548</v>
      </c>
      <c r="W27" s="203">
        <v>20067</v>
      </c>
      <c r="X27" s="222" t="s">
        <v>549</v>
      </c>
      <c r="Y27" s="204" t="s">
        <v>545</v>
      </c>
      <c r="Z27" s="117"/>
      <c r="AA27" s="117" t="s">
        <v>69</v>
      </c>
      <c r="AB27" s="113"/>
      <c r="AC27" s="117"/>
      <c r="AD27" s="117"/>
      <c r="AE27" s="113">
        <v>45733</v>
      </c>
      <c r="AF27" s="113"/>
      <c r="AG27" s="113"/>
      <c r="AH27" s="117"/>
      <c r="AI27" s="117">
        <v>36</v>
      </c>
      <c r="AJ27" s="117"/>
      <c r="AK27" s="117" t="s">
        <v>81</v>
      </c>
      <c r="AL27" s="117">
        <v>3</v>
      </c>
      <c r="AM27" s="113">
        <v>45824</v>
      </c>
      <c r="AN27" s="115" t="s">
        <v>68</v>
      </c>
      <c r="AO27" s="117" t="s">
        <v>66</v>
      </c>
      <c r="AP27" s="117">
        <v>8</v>
      </c>
      <c r="AQ27" s="117">
        <v>2025</v>
      </c>
      <c r="AR27" s="75" t="s">
        <v>551</v>
      </c>
      <c r="AS27" s="297" t="s">
        <v>134</v>
      </c>
      <c r="AT27" s="117" t="s">
        <v>66</v>
      </c>
      <c r="AU27" s="137">
        <v>45957</v>
      </c>
      <c r="AV27" s="122">
        <v>47783</v>
      </c>
      <c r="AW27" s="113">
        <v>46086</v>
      </c>
      <c r="AX27" s="113">
        <v>46086</v>
      </c>
      <c r="AY27" s="113">
        <v>47912</v>
      </c>
      <c r="AZ27" s="113" t="s">
        <v>71</v>
      </c>
      <c r="BA27" s="122" t="s">
        <v>71</v>
      </c>
      <c r="BB27" s="117" t="s">
        <v>71</v>
      </c>
      <c r="BC27" s="122" t="s">
        <v>71</v>
      </c>
      <c r="BD27" s="122" t="s">
        <v>71</v>
      </c>
      <c r="BE27" s="122" t="s">
        <v>71</v>
      </c>
      <c r="BF27" s="113" t="s">
        <v>71</v>
      </c>
      <c r="BG27" s="122" t="s">
        <v>71</v>
      </c>
      <c r="BH27" s="113" t="s">
        <v>71</v>
      </c>
      <c r="BI27" s="122" t="s">
        <v>71</v>
      </c>
      <c r="BJ27" s="321" t="s">
        <v>129</v>
      </c>
      <c r="BK27" s="315" t="s">
        <v>520</v>
      </c>
      <c r="BL27" s="321">
        <v>46069</v>
      </c>
      <c r="BM27" s="321" t="s">
        <v>129</v>
      </c>
      <c r="BN27" s="321" t="s">
        <v>66</v>
      </c>
      <c r="BO27" s="319"/>
      <c r="BP27" s="141"/>
    </row>
    <row r="28" spans="1:69" ht="21" customHeight="1">
      <c r="A28" s="75" t="s">
        <v>129</v>
      </c>
      <c r="B28" s="77" t="s">
        <v>99</v>
      </c>
      <c r="C28" s="76">
        <v>46037</v>
      </c>
      <c r="D28" s="76">
        <v>46188</v>
      </c>
      <c r="E28" s="76"/>
      <c r="F28" s="75" t="s">
        <v>543</v>
      </c>
      <c r="G28" s="199" t="s">
        <v>90</v>
      </c>
      <c r="H28" s="77" t="s">
        <v>76</v>
      </c>
      <c r="I28" s="77" t="s">
        <v>89</v>
      </c>
      <c r="J28" s="77"/>
      <c r="K28" s="77"/>
      <c r="L28" s="76"/>
      <c r="M28" s="76"/>
      <c r="N28" s="76" t="s">
        <v>545</v>
      </c>
      <c r="O28" s="75" t="s">
        <v>547</v>
      </c>
      <c r="P28" s="75" t="s">
        <v>546</v>
      </c>
      <c r="Q28" s="76">
        <v>48537</v>
      </c>
      <c r="R28" s="76">
        <v>47771</v>
      </c>
      <c r="S28" s="78" t="s">
        <v>64</v>
      </c>
      <c r="T28" s="75" t="s">
        <v>77</v>
      </c>
      <c r="U28" s="75" t="s">
        <v>549</v>
      </c>
      <c r="V28" s="75" t="s">
        <v>548</v>
      </c>
      <c r="W28" s="199">
        <v>20060</v>
      </c>
      <c r="X28" s="222" t="s">
        <v>549</v>
      </c>
      <c r="Y28" s="204" t="s">
        <v>545</v>
      </c>
      <c r="Z28" s="77"/>
      <c r="AA28" s="77" t="s">
        <v>69</v>
      </c>
      <c r="AB28" s="76"/>
      <c r="AC28" s="77"/>
      <c r="AD28" s="77"/>
      <c r="AE28" s="76">
        <v>45719</v>
      </c>
      <c r="AF28" s="76"/>
      <c r="AG28" s="76">
        <v>45903</v>
      </c>
      <c r="AH28" s="77"/>
      <c r="AI28" s="77">
        <v>40</v>
      </c>
      <c r="AJ28" s="77"/>
      <c r="AK28" s="77" t="s">
        <v>81</v>
      </c>
      <c r="AL28" s="77"/>
      <c r="AM28" s="76"/>
      <c r="AN28" s="75" t="s">
        <v>68</v>
      </c>
      <c r="AO28" s="77" t="s">
        <v>69</v>
      </c>
      <c r="AP28" s="77" t="s">
        <v>64</v>
      </c>
      <c r="AQ28" s="77" t="s">
        <v>64</v>
      </c>
      <c r="AR28" s="75" t="s">
        <v>551</v>
      </c>
      <c r="AS28" s="286" t="s">
        <v>102</v>
      </c>
      <c r="AT28" s="77" t="s">
        <v>66</v>
      </c>
      <c r="AU28" s="110">
        <v>45838</v>
      </c>
      <c r="AV28" s="78">
        <v>47664</v>
      </c>
      <c r="AW28" s="76">
        <v>45826</v>
      </c>
      <c r="AX28" s="76">
        <v>45826</v>
      </c>
      <c r="AY28" s="78" t="s">
        <v>92</v>
      </c>
      <c r="AZ28" s="76" t="s">
        <v>71</v>
      </c>
      <c r="BA28" s="78" t="s">
        <v>71</v>
      </c>
      <c r="BB28" s="77" t="s">
        <v>71</v>
      </c>
      <c r="BC28" s="78" t="s">
        <v>71</v>
      </c>
      <c r="BD28" s="78" t="s">
        <v>71</v>
      </c>
      <c r="BE28" s="78">
        <v>46041</v>
      </c>
      <c r="BF28" s="76">
        <v>45863</v>
      </c>
      <c r="BG28" s="78">
        <v>46228</v>
      </c>
      <c r="BH28" s="76">
        <v>45800</v>
      </c>
      <c r="BI28" s="78">
        <v>47626</v>
      </c>
      <c r="BJ28" s="317" t="s">
        <v>99</v>
      </c>
      <c r="BK28" s="312" t="s">
        <v>504</v>
      </c>
      <c r="BL28" s="317">
        <v>46066</v>
      </c>
      <c r="BM28" s="317" t="s">
        <v>99</v>
      </c>
      <c r="BN28" s="317" t="s">
        <v>66</v>
      </c>
      <c r="BO28" s="320"/>
      <c r="BP28" s="139"/>
    </row>
    <row r="29" spans="1:69" ht="19.350000000000001" customHeight="1" thickBot="1">
      <c r="A29" s="130" t="s">
        <v>129</v>
      </c>
      <c r="B29" s="130"/>
      <c r="C29" s="202"/>
      <c r="D29" s="132"/>
      <c r="E29" s="205"/>
      <c r="F29" s="130" t="s">
        <v>543</v>
      </c>
      <c r="G29" s="202" t="s">
        <v>70</v>
      </c>
      <c r="H29" s="131" t="s">
        <v>76</v>
      </c>
      <c r="I29" s="131" t="s">
        <v>63</v>
      </c>
      <c r="J29" s="131"/>
      <c r="K29" s="131"/>
      <c r="L29" s="132"/>
      <c r="M29" s="132"/>
      <c r="N29" s="76" t="s">
        <v>545</v>
      </c>
      <c r="O29" s="75" t="s">
        <v>547</v>
      </c>
      <c r="P29" s="75" t="s">
        <v>546</v>
      </c>
      <c r="Q29" s="132">
        <v>46775</v>
      </c>
      <c r="R29" s="132">
        <v>46939</v>
      </c>
      <c r="S29" s="279" t="s">
        <v>64</v>
      </c>
      <c r="T29" s="130" t="s">
        <v>77</v>
      </c>
      <c r="U29" s="75" t="s">
        <v>549</v>
      </c>
      <c r="V29" s="75" t="s">
        <v>548</v>
      </c>
      <c r="W29" s="202">
        <v>20098</v>
      </c>
      <c r="X29" s="222" t="s">
        <v>549</v>
      </c>
      <c r="Y29" s="204" t="s">
        <v>545</v>
      </c>
      <c r="Z29" s="132">
        <v>45369</v>
      </c>
      <c r="AA29" s="131" t="s">
        <v>69</v>
      </c>
      <c r="AB29" s="132"/>
      <c r="AC29" s="131"/>
      <c r="AD29" s="131"/>
      <c r="AE29" s="134">
        <v>45740</v>
      </c>
      <c r="AF29" s="132"/>
      <c r="AG29" s="132"/>
      <c r="AH29" s="205" t="s">
        <v>135</v>
      </c>
      <c r="AI29" s="131">
        <v>39</v>
      </c>
      <c r="AJ29" s="131"/>
      <c r="AK29" s="131" t="s">
        <v>81</v>
      </c>
      <c r="AL29" s="131"/>
      <c r="AM29" s="132">
        <v>45740</v>
      </c>
      <c r="AN29" s="130" t="s">
        <v>68</v>
      </c>
      <c r="AO29" s="131" t="s">
        <v>66</v>
      </c>
      <c r="AP29" s="131">
        <v>5</v>
      </c>
      <c r="AQ29" s="131">
        <v>2025</v>
      </c>
      <c r="AR29" s="75" t="s">
        <v>551</v>
      </c>
      <c r="AS29" s="273" t="s">
        <v>136</v>
      </c>
      <c r="AT29" s="131" t="s">
        <v>66</v>
      </c>
      <c r="AU29" s="140">
        <v>45953</v>
      </c>
      <c r="AV29" s="133">
        <v>46318</v>
      </c>
      <c r="AW29" s="132">
        <v>45855</v>
      </c>
      <c r="AX29" s="132">
        <v>45855</v>
      </c>
      <c r="AY29" s="133">
        <v>47681</v>
      </c>
      <c r="AZ29" s="132">
        <v>45856</v>
      </c>
      <c r="BA29" s="133">
        <v>47682</v>
      </c>
      <c r="BB29" s="131">
        <v>2026</v>
      </c>
      <c r="BC29" s="133">
        <v>45751</v>
      </c>
      <c r="BD29" s="133">
        <v>47577</v>
      </c>
      <c r="BE29" s="133" t="s">
        <v>71</v>
      </c>
      <c r="BF29" s="132" t="s">
        <v>71</v>
      </c>
      <c r="BG29" s="133" t="s">
        <v>71</v>
      </c>
      <c r="BH29" s="132" t="s">
        <v>71</v>
      </c>
      <c r="BI29" s="133" t="s">
        <v>71</v>
      </c>
      <c r="BJ29" s="322" t="s">
        <v>129</v>
      </c>
      <c r="BK29" s="314" t="s">
        <v>521</v>
      </c>
      <c r="BL29" s="322">
        <v>46069</v>
      </c>
      <c r="BM29" s="322" t="s">
        <v>129</v>
      </c>
      <c r="BN29" s="322" t="s">
        <v>66</v>
      </c>
      <c r="BO29" s="322" t="s">
        <v>66</v>
      </c>
      <c r="BP29" s="135"/>
    </row>
    <row r="30" spans="1:69" ht="19.350000000000001" customHeight="1">
      <c r="A30" s="115" t="s">
        <v>137</v>
      </c>
      <c r="B30" s="117" t="s">
        <v>138</v>
      </c>
      <c r="C30" s="113">
        <v>46083</v>
      </c>
      <c r="D30" s="113">
        <v>46203</v>
      </c>
      <c r="E30" s="113"/>
      <c r="F30" s="115" t="s">
        <v>543</v>
      </c>
      <c r="G30" s="203" t="s">
        <v>90</v>
      </c>
      <c r="H30" s="117" t="s">
        <v>76</v>
      </c>
      <c r="I30" s="117" t="s">
        <v>89</v>
      </c>
      <c r="J30" s="117"/>
      <c r="K30" s="117"/>
      <c r="L30" s="113"/>
      <c r="M30" s="113"/>
      <c r="N30" s="76" t="s">
        <v>545</v>
      </c>
      <c r="O30" s="75" t="s">
        <v>547</v>
      </c>
      <c r="P30" s="75" t="s">
        <v>546</v>
      </c>
      <c r="Q30" s="113">
        <v>47967</v>
      </c>
      <c r="R30" s="113">
        <v>46534</v>
      </c>
      <c r="S30" s="122" t="s">
        <v>64</v>
      </c>
      <c r="T30" s="115" t="s">
        <v>77</v>
      </c>
      <c r="U30" s="75" t="s">
        <v>549</v>
      </c>
      <c r="V30" s="75" t="s">
        <v>548</v>
      </c>
      <c r="W30" s="203">
        <v>20082</v>
      </c>
      <c r="X30" s="222" t="s">
        <v>549</v>
      </c>
      <c r="Y30" s="204" t="s">
        <v>545</v>
      </c>
      <c r="Z30" s="117"/>
      <c r="AA30" s="117" t="s">
        <v>69</v>
      </c>
      <c r="AB30" s="113"/>
      <c r="AC30" s="117"/>
      <c r="AD30" s="117"/>
      <c r="AE30" s="113">
        <v>45698</v>
      </c>
      <c r="AF30" s="113"/>
      <c r="AG30" s="113">
        <v>45878</v>
      </c>
      <c r="AH30" s="117"/>
      <c r="AI30" s="117">
        <v>40</v>
      </c>
      <c r="AJ30" s="117"/>
      <c r="AK30" s="117" t="s">
        <v>81</v>
      </c>
      <c r="AL30" s="117"/>
      <c r="AM30" s="113"/>
      <c r="AN30" s="115" t="s">
        <v>68</v>
      </c>
      <c r="AO30" s="117" t="s">
        <v>69</v>
      </c>
      <c r="AP30" s="117" t="s">
        <v>64</v>
      </c>
      <c r="AQ30" s="117" t="s">
        <v>64</v>
      </c>
      <c r="AR30" s="75" t="s">
        <v>551</v>
      </c>
      <c r="AS30" s="297" t="s">
        <v>139</v>
      </c>
      <c r="AT30" s="117" t="s">
        <v>71</v>
      </c>
      <c r="AU30" s="137">
        <v>45952</v>
      </c>
      <c r="AV30" s="122">
        <v>47778</v>
      </c>
      <c r="AW30" s="113">
        <v>45889</v>
      </c>
      <c r="AX30" s="113">
        <v>45889</v>
      </c>
      <c r="AY30" s="122" t="s">
        <v>92</v>
      </c>
      <c r="AZ30" s="113" t="s">
        <v>71</v>
      </c>
      <c r="BA30" s="122" t="s">
        <v>71</v>
      </c>
      <c r="BB30" s="117" t="s">
        <v>71</v>
      </c>
      <c r="BC30" s="122" t="s">
        <v>71</v>
      </c>
      <c r="BD30" s="122" t="s">
        <v>71</v>
      </c>
      <c r="BE30" s="122">
        <v>45722</v>
      </c>
      <c r="BF30" s="113">
        <v>45887</v>
      </c>
      <c r="BG30" s="122">
        <v>46252</v>
      </c>
      <c r="BH30" s="113">
        <v>45800</v>
      </c>
      <c r="BI30" s="122">
        <v>47626</v>
      </c>
      <c r="BJ30" s="319"/>
      <c r="BK30" s="319"/>
      <c r="BL30" s="319"/>
      <c r="BM30" s="325"/>
      <c r="BN30" s="325"/>
      <c r="BO30" s="319"/>
      <c r="BP30" s="141"/>
    </row>
    <row r="31" spans="1:69" ht="19.05" customHeight="1">
      <c r="A31" s="75" t="s">
        <v>137</v>
      </c>
      <c r="B31" s="77"/>
      <c r="C31" s="75"/>
      <c r="D31" s="76"/>
      <c r="E31" s="75"/>
      <c r="F31" s="75" t="s">
        <v>543</v>
      </c>
      <c r="G31" s="199" t="s">
        <v>70</v>
      </c>
      <c r="H31" s="77" t="s">
        <v>76</v>
      </c>
      <c r="I31" s="77" t="s">
        <v>63</v>
      </c>
      <c r="J31" s="77"/>
      <c r="K31" s="77"/>
      <c r="L31" s="76"/>
      <c r="M31" s="76"/>
      <c r="N31" s="76" t="s">
        <v>545</v>
      </c>
      <c r="O31" s="75" t="s">
        <v>547</v>
      </c>
      <c r="P31" s="75" t="s">
        <v>546</v>
      </c>
      <c r="Q31" s="76">
        <v>47191</v>
      </c>
      <c r="R31" s="76">
        <v>46396</v>
      </c>
      <c r="S31" s="76">
        <v>46396</v>
      </c>
      <c r="T31" s="75" t="s">
        <v>65</v>
      </c>
      <c r="U31" s="75" t="s">
        <v>549</v>
      </c>
      <c r="V31" s="75" t="s">
        <v>548</v>
      </c>
      <c r="W31" s="199">
        <v>20157</v>
      </c>
      <c r="X31" s="222" t="s">
        <v>549</v>
      </c>
      <c r="Y31" s="204" t="s">
        <v>545</v>
      </c>
      <c r="Z31" s="76">
        <v>46119</v>
      </c>
      <c r="AA31" s="77" t="s">
        <v>69</v>
      </c>
      <c r="AB31" s="76"/>
      <c r="AC31" s="77"/>
      <c r="AD31" s="77"/>
      <c r="AE31" s="76">
        <v>46119</v>
      </c>
      <c r="AF31" s="76">
        <v>46270</v>
      </c>
      <c r="AG31" s="76">
        <v>46132</v>
      </c>
      <c r="AH31" s="77"/>
      <c r="AI31" s="77">
        <v>36</v>
      </c>
      <c r="AJ31" s="77"/>
      <c r="AK31" s="77" t="s">
        <v>67</v>
      </c>
      <c r="AL31" s="77">
        <v>5</v>
      </c>
      <c r="AM31" s="76"/>
      <c r="AN31" s="75" t="s">
        <v>68</v>
      </c>
      <c r="AO31" s="77" t="s">
        <v>69</v>
      </c>
      <c r="AP31" s="77"/>
      <c r="AQ31" s="77"/>
      <c r="AR31" s="75" t="s">
        <v>551</v>
      </c>
      <c r="AS31" s="286" t="s">
        <v>473</v>
      </c>
      <c r="AT31" s="119" t="s">
        <v>66</v>
      </c>
      <c r="AU31" s="195" t="s">
        <v>434</v>
      </c>
      <c r="AV31" s="232"/>
      <c r="AW31" s="195" t="s">
        <v>434</v>
      </c>
      <c r="AX31" s="195" t="s">
        <v>434</v>
      </c>
      <c r="AY31" s="232"/>
      <c r="AZ31" s="118"/>
      <c r="BA31" s="232"/>
      <c r="BB31" s="114"/>
      <c r="BC31" s="242"/>
      <c r="BD31" s="232"/>
      <c r="BE31" s="232"/>
      <c r="BF31" s="118"/>
      <c r="BG31" s="232"/>
      <c r="BH31" s="118"/>
      <c r="BI31" s="232"/>
      <c r="BJ31" s="326"/>
      <c r="BK31" s="326"/>
      <c r="BL31" s="326"/>
      <c r="BM31" s="326"/>
      <c r="BN31" s="326"/>
      <c r="BO31" s="326"/>
      <c r="BP31" s="145"/>
    </row>
    <row r="32" spans="1:69" s="88" customFormat="1" ht="19.350000000000001" customHeight="1" thickBot="1">
      <c r="A32" s="130" t="s">
        <v>137</v>
      </c>
      <c r="B32" s="131" t="s">
        <v>142</v>
      </c>
      <c r="C32" s="134">
        <v>46085</v>
      </c>
      <c r="D32" s="132">
        <v>46127</v>
      </c>
      <c r="E32" s="140"/>
      <c r="F32" s="130" t="s">
        <v>543</v>
      </c>
      <c r="G32" s="202" t="s">
        <v>78</v>
      </c>
      <c r="H32" s="131" t="s">
        <v>76</v>
      </c>
      <c r="I32" s="131" t="s">
        <v>63</v>
      </c>
      <c r="J32" s="131"/>
      <c r="K32" s="131"/>
      <c r="L32" s="132"/>
      <c r="M32" s="132"/>
      <c r="N32" s="76" t="s">
        <v>545</v>
      </c>
      <c r="O32" s="75" t="s">
        <v>547</v>
      </c>
      <c r="P32" s="75" t="s">
        <v>546</v>
      </c>
      <c r="Q32" s="132">
        <v>46554</v>
      </c>
      <c r="R32" s="132">
        <v>46622</v>
      </c>
      <c r="S32" s="140" t="s">
        <v>64</v>
      </c>
      <c r="T32" s="130" t="s">
        <v>77</v>
      </c>
      <c r="U32" s="75" t="s">
        <v>549</v>
      </c>
      <c r="V32" s="75" t="s">
        <v>548</v>
      </c>
      <c r="W32" s="131">
        <v>20098</v>
      </c>
      <c r="X32" s="222" t="s">
        <v>549</v>
      </c>
      <c r="Y32" s="204" t="s">
        <v>545</v>
      </c>
      <c r="Z32" s="132">
        <v>45946</v>
      </c>
      <c r="AA32" s="131" t="s">
        <v>69</v>
      </c>
      <c r="AB32" s="132">
        <v>46037</v>
      </c>
      <c r="AC32" s="131" t="s">
        <v>83</v>
      </c>
      <c r="AD32" s="131"/>
      <c r="AE32" s="134">
        <v>46085</v>
      </c>
      <c r="AF32" s="132"/>
      <c r="AG32" s="132"/>
      <c r="AH32" s="205"/>
      <c r="AI32" s="131">
        <v>36</v>
      </c>
      <c r="AJ32" s="131"/>
      <c r="AK32" s="131" t="s">
        <v>67</v>
      </c>
      <c r="AL32" s="131">
        <v>3</v>
      </c>
      <c r="AM32" s="132"/>
      <c r="AN32" s="130" t="s">
        <v>68</v>
      </c>
      <c r="AO32" s="131" t="s">
        <v>69</v>
      </c>
      <c r="AP32" s="131" t="s">
        <v>64</v>
      </c>
      <c r="AQ32" s="131" t="s">
        <v>64</v>
      </c>
      <c r="AR32" s="75" t="s">
        <v>551</v>
      </c>
      <c r="AS32" s="290" t="s">
        <v>84</v>
      </c>
      <c r="AT32" s="131" t="s">
        <v>71</v>
      </c>
      <c r="AU32" s="140" t="s">
        <v>79</v>
      </c>
      <c r="AV32" s="133"/>
      <c r="AW32" s="132" t="s">
        <v>79</v>
      </c>
      <c r="AX32" s="132" t="s">
        <v>79</v>
      </c>
      <c r="AY32" s="133"/>
      <c r="AZ32" s="132" t="s">
        <v>71</v>
      </c>
      <c r="BA32" s="133" t="s">
        <v>71</v>
      </c>
      <c r="BB32" s="131" t="s">
        <v>71</v>
      </c>
      <c r="BC32" s="133" t="s">
        <v>71</v>
      </c>
      <c r="BD32" s="133" t="s">
        <v>71</v>
      </c>
      <c r="BE32" s="133" t="s">
        <v>71</v>
      </c>
      <c r="BF32" s="132" t="s">
        <v>71</v>
      </c>
      <c r="BG32" s="133" t="s">
        <v>71</v>
      </c>
      <c r="BH32" s="132" t="s">
        <v>71</v>
      </c>
      <c r="BI32" s="133" t="s">
        <v>71</v>
      </c>
      <c r="BJ32" s="327" t="s">
        <v>137</v>
      </c>
      <c r="BK32" s="327"/>
      <c r="BL32" s="327"/>
      <c r="BM32" s="322" t="s">
        <v>137</v>
      </c>
      <c r="BN32" s="322" t="s">
        <v>66</v>
      </c>
      <c r="BO32" s="318"/>
      <c r="BP32" s="135"/>
      <c r="BQ32" s="81"/>
    </row>
    <row r="33" spans="1:69" ht="19.350000000000001" customHeight="1">
      <c r="A33" s="115" t="s">
        <v>138</v>
      </c>
      <c r="B33" s="115"/>
      <c r="C33" s="117"/>
      <c r="D33" s="113"/>
      <c r="E33" s="117"/>
      <c r="F33" s="115" t="s">
        <v>543</v>
      </c>
      <c r="G33" s="203" t="s">
        <v>70</v>
      </c>
      <c r="H33" s="117" t="s">
        <v>76</v>
      </c>
      <c r="I33" s="117" t="s">
        <v>63</v>
      </c>
      <c r="J33" s="117"/>
      <c r="K33" s="117"/>
      <c r="L33" s="113"/>
      <c r="M33" s="113"/>
      <c r="N33" s="76" t="s">
        <v>545</v>
      </c>
      <c r="O33" s="75" t="s">
        <v>547</v>
      </c>
      <c r="P33" s="75" t="s">
        <v>546</v>
      </c>
      <c r="Q33" s="113">
        <v>46849</v>
      </c>
      <c r="R33" s="113">
        <v>47463</v>
      </c>
      <c r="S33" s="122">
        <v>48969</v>
      </c>
      <c r="T33" s="115" t="s">
        <v>120</v>
      </c>
      <c r="U33" s="75" t="s">
        <v>549</v>
      </c>
      <c r="V33" s="75" t="s">
        <v>548</v>
      </c>
      <c r="W33" s="203">
        <v>20126</v>
      </c>
      <c r="X33" s="222" t="s">
        <v>549</v>
      </c>
      <c r="Y33" s="204" t="s">
        <v>545</v>
      </c>
      <c r="Z33" s="143"/>
      <c r="AA33" s="143" t="s">
        <v>66</v>
      </c>
      <c r="AB33" s="122"/>
      <c r="AC33" s="143"/>
      <c r="AD33" s="143"/>
      <c r="AE33" s="113">
        <v>45811</v>
      </c>
      <c r="AF33" s="113">
        <v>46112</v>
      </c>
      <c r="AG33" s="113">
        <v>45812</v>
      </c>
      <c r="AH33" s="117"/>
      <c r="AI33" s="117">
        <v>36</v>
      </c>
      <c r="AJ33" s="117"/>
      <c r="AK33" s="117" t="s">
        <v>81</v>
      </c>
      <c r="AL33" s="117">
        <v>1</v>
      </c>
      <c r="AM33" s="113">
        <v>46113</v>
      </c>
      <c r="AN33" s="115" t="s">
        <v>68</v>
      </c>
      <c r="AO33" s="117" t="s">
        <v>66</v>
      </c>
      <c r="AP33" s="300" t="s">
        <v>64</v>
      </c>
      <c r="AQ33" s="300" t="s">
        <v>64</v>
      </c>
      <c r="AR33" s="75" t="s">
        <v>551</v>
      </c>
      <c r="AS33" s="298" t="s">
        <v>102</v>
      </c>
      <c r="AT33" s="117" t="s">
        <v>71</v>
      </c>
      <c r="AU33" s="137">
        <v>46064</v>
      </c>
      <c r="AV33" s="113">
        <v>46429</v>
      </c>
      <c r="AW33" s="76">
        <v>46085</v>
      </c>
      <c r="AX33" s="113" t="s">
        <v>93</v>
      </c>
      <c r="AY33" s="122"/>
      <c r="AZ33" s="113" t="s">
        <v>93</v>
      </c>
      <c r="BA33" s="122"/>
      <c r="BB33" s="117">
        <v>2026</v>
      </c>
      <c r="BC33" s="113">
        <v>46044</v>
      </c>
      <c r="BD33" s="122">
        <v>47870</v>
      </c>
      <c r="BE33" s="122" t="s">
        <v>71</v>
      </c>
      <c r="BF33" s="113" t="s">
        <v>71</v>
      </c>
      <c r="BG33" s="122" t="s">
        <v>71</v>
      </c>
      <c r="BH33" s="113" t="s">
        <v>71</v>
      </c>
      <c r="BI33" s="122" t="s">
        <v>71</v>
      </c>
      <c r="BJ33" s="315" t="s">
        <v>138</v>
      </c>
      <c r="BK33" s="315" t="s">
        <v>507</v>
      </c>
      <c r="BL33" s="321">
        <v>46067</v>
      </c>
      <c r="BM33" s="315" t="s">
        <v>138</v>
      </c>
      <c r="BN33" s="321" t="s">
        <v>66</v>
      </c>
      <c r="BO33" s="321" t="s">
        <v>66</v>
      </c>
      <c r="BP33" s="141"/>
    </row>
    <row r="34" spans="1:69" ht="20.100000000000001" hidden="1" customHeight="1">
      <c r="A34" s="75"/>
      <c r="B34" s="75"/>
      <c r="C34" s="77"/>
      <c r="D34" s="76"/>
      <c r="E34" s="77"/>
      <c r="F34" s="75" t="s">
        <v>433</v>
      </c>
      <c r="G34" s="199"/>
      <c r="H34" s="77"/>
      <c r="I34" s="77"/>
      <c r="J34" s="77"/>
      <c r="K34" s="77"/>
      <c r="L34" s="76"/>
      <c r="M34" s="76"/>
      <c r="N34" s="76"/>
      <c r="O34" s="80"/>
      <c r="P34" s="80"/>
      <c r="Q34" s="76"/>
      <c r="R34" s="76"/>
      <c r="S34" s="78"/>
      <c r="T34" s="75"/>
      <c r="U34" s="75"/>
      <c r="V34" s="75"/>
      <c r="W34" s="199"/>
      <c r="X34" s="222"/>
      <c r="Y34" s="206"/>
      <c r="Z34" s="87"/>
      <c r="AA34" s="87"/>
      <c r="AB34" s="78"/>
      <c r="AC34" s="87"/>
      <c r="AD34" s="87"/>
      <c r="AE34" s="76"/>
      <c r="AF34" s="76"/>
      <c r="AG34" s="76"/>
      <c r="AH34" s="77"/>
      <c r="AI34" s="77"/>
      <c r="AJ34" s="77"/>
      <c r="AK34" s="77"/>
      <c r="AL34" s="77"/>
      <c r="AM34" s="76"/>
      <c r="AN34" s="75"/>
      <c r="AO34" s="77"/>
      <c r="AP34" s="77"/>
      <c r="AQ34" s="77"/>
      <c r="AR34" s="75"/>
      <c r="AS34" s="75"/>
      <c r="AT34" s="77"/>
      <c r="AU34" s="195" t="s">
        <v>434</v>
      </c>
      <c r="AV34" s="78"/>
      <c r="AW34" s="195" t="s">
        <v>434</v>
      </c>
      <c r="AX34" s="76">
        <v>45898</v>
      </c>
      <c r="AY34" s="78">
        <v>47724</v>
      </c>
      <c r="AZ34" s="76" t="s">
        <v>71</v>
      </c>
      <c r="BA34" s="78" t="s">
        <v>71</v>
      </c>
      <c r="BB34" s="77" t="s">
        <v>71</v>
      </c>
      <c r="BC34" s="195"/>
      <c r="BD34" s="78"/>
      <c r="BE34" s="78"/>
      <c r="BF34" s="76"/>
      <c r="BG34" s="78"/>
      <c r="BH34" s="76"/>
      <c r="BI34" s="78"/>
      <c r="BJ34" s="312"/>
      <c r="BK34" s="312"/>
      <c r="BL34" s="312"/>
      <c r="BM34" s="312"/>
      <c r="BN34" s="312"/>
      <c r="BO34" s="312"/>
      <c r="BP34" s="139"/>
    </row>
    <row r="35" spans="1:69" ht="20.100000000000001" customHeight="1">
      <c r="A35" s="75" t="s">
        <v>138</v>
      </c>
      <c r="B35" s="75"/>
      <c r="C35" s="77"/>
      <c r="D35" s="76"/>
      <c r="E35" s="77"/>
      <c r="F35" s="75" t="s">
        <v>543</v>
      </c>
      <c r="G35" s="199" t="s">
        <v>78</v>
      </c>
      <c r="H35" s="77" t="s">
        <v>76</v>
      </c>
      <c r="I35" s="77" t="s">
        <v>63</v>
      </c>
      <c r="J35" s="77"/>
      <c r="K35" s="77"/>
      <c r="L35" s="76"/>
      <c r="M35" s="76"/>
      <c r="N35" s="76" t="s">
        <v>545</v>
      </c>
      <c r="O35" s="75" t="s">
        <v>547</v>
      </c>
      <c r="P35" s="75" t="s">
        <v>546</v>
      </c>
      <c r="Q35" s="76">
        <v>48777</v>
      </c>
      <c r="R35" s="76">
        <v>46783</v>
      </c>
      <c r="S35" s="78"/>
      <c r="T35" s="75" t="s">
        <v>435</v>
      </c>
      <c r="U35" s="75" t="s">
        <v>549</v>
      </c>
      <c r="V35" s="75" t="s">
        <v>548</v>
      </c>
      <c r="W35" s="199">
        <v>20080</v>
      </c>
      <c r="X35" s="222" t="s">
        <v>549</v>
      </c>
      <c r="Y35" s="204" t="s">
        <v>545</v>
      </c>
      <c r="Z35" s="87"/>
      <c r="AA35" s="87" t="s">
        <v>69</v>
      </c>
      <c r="AB35" s="78"/>
      <c r="AC35" s="87"/>
      <c r="AD35" s="87"/>
      <c r="AE35" s="76">
        <v>46113</v>
      </c>
      <c r="AF35" s="76">
        <v>46203</v>
      </c>
      <c r="AG35" s="76">
        <v>46119</v>
      </c>
      <c r="AH35" s="77"/>
      <c r="AI35" s="77">
        <v>36</v>
      </c>
      <c r="AJ35" s="77"/>
      <c r="AK35" s="77" t="s">
        <v>67</v>
      </c>
      <c r="AL35" s="77">
        <v>3</v>
      </c>
      <c r="AM35" s="76"/>
      <c r="AN35" s="75" t="s">
        <v>68</v>
      </c>
      <c r="AO35" s="77" t="s">
        <v>69</v>
      </c>
      <c r="AP35" s="77"/>
      <c r="AQ35" s="77"/>
      <c r="AR35" s="75" t="s">
        <v>551</v>
      </c>
      <c r="AS35" s="75" t="s">
        <v>130</v>
      </c>
      <c r="AT35" s="119" t="s">
        <v>71</v>
      </c>
      <c r="AU35" s="195" t="s">
        <v>436</v>
      </c>
      <c r="AV35" s="78"/>
      <c r="AW35" s="195" t="s">
        <v>436</v>
      </c>
      <c r="AX35" s="76">
        <v>45898</v>
      </c>
      <c r="AY35" s="78"/>
      <c r="AZ35" s="76"/>
      <c r="BA35" s="78"/>
      <c r="BB35" s="77"/>
      <c r="BC35" s="195"/>
      <c r="BD35" s="78"/>
      <c r="BE35" s="78"/>
      <c r="BF35" s="76"/>
      <c r="BG35" s="78"/>
      <c r="BH35" s="76"/>
      <c r="BI35" s="78"/>
      <c r="BJ35" s="324"/>
      <c r="BK35" s="324"/>
      <c r="BL35" s="324"/>
      <c r="BM35" s="324"/>
      <c r="BN35" s="324"/>
      <c r="BO35" s="324"/>
      <c r="BP35" s="139"/>
    </row>
    <row r="36" spans="1:69" ht="19.350000000000001" customHeight="1" thickBot="1">
      <c r="A36" s="130" t="s">
        <v>138</v>
      </c>
      <c r="B36" s="131" t="s">
        <v>100</v>
      </c>
      <c r="C36" s="132">
        <v>46087</v>
      </c>
      <c r="D36" s="132">
        <v>46295</v>
      </c>
      <c r="E36" s="132"/>
      <c r="F36" s="130" t="s">
        <v>543</v>
      </c>
      <c r="G36" s="202" t="s">
        <v>109</v>
      </c>
      <c r="H36" s="131" t="s">
        <v>76</v>
      </c>
      <c r="I36" s="131" t="s">
        <v>89</v>
      </c>
      <c r="J36" s="131"/>
      <c r="K36" s="131"/>
      <c r="L36" s="132"/>
      <c r="M36" s="132"/>
      <c r="N36" s="76" t="s">
        <v>545</v>
      </c>
      <c r="O36" s="75" t="s">
        <v>547</v>
      </c>
      <c r="P36" s="75" t="s">
        <v>546</v>
      </c>
      <c r="Q36" s="132">
        <v>48096</v>
      </c>
      <c r="R36" s="132">
        <v>47152</v>
      </c>
      <c r="S36" s="133" t="s">
        <v>64</v>
      </c>
      <c r="T36" s="130" t="s">
        <v>77</v>
      </c>
      <c r="U36" s="75" t="s">
        <v>549</v>
      </c>
      <c r="V36" s="75" t="s">
        <v>548</v>
      </c>
      <c r="W36" s="202">
        <v>98122</v>
      </c>
      <c r="X36" s="222" t="s">
        <v>549</v>
      </c>
      <c r="Y36" s="204" t="s">
        <v>545</v>
      </c>
      <c r="Z36" s="131"/>
      <c r="AA36" s="131" t="s">
        <v>69</v>
      </c>
      <c r="AB36" s="132"/>
      <c r="AC36" s="131"/>
      <c r="AD36" s="131"/>
      <c r="AE36" s="132">
        <v>45908</v>
      </c>
      <c r="AF36" s="132"/>
      <c r="AG36" s="132">
        <v>45723</v>
      </c>
      <c r="AH36" s="131"/>
      <c r="AI36" s="131">
        <v>40</v>
      </c>
      <c r="AJ36" s="131"/>
      <c r="AK36" s="131" t="s">
        <v>81</v>
      </c>
      <c r="AL36" s="131"/>
      <c r="AM36" s="132"/>
      <c r="AN36" s="130" t="s">
        <v>68</v>
      </c>
      <c r="AO36" s="131" t="s">
        <v>69</v>
      </c>
      <c r="AP36" s="131" t="s">
        <v>64</v>
      </c>
      <c r="AQ36" s="131" t="s">
        <v>64</v>
      </c>
      <c r="AR36" s="75" t="s">
        <v>551</v>
      </c>
      <c r="AS36" s="290" t="s">
        <v>143</v>
      </c>
      <c r="AT36" s="131" t="s">
        <v>71</v>
      </c>
      <c r="AU36" s="140">
        <v>46099</v>
      </c>
      <c r="AV36" s="132">
        <v>47925</v>
      </c>
      <c r="AW36" s="132">
        <v>46093</v>
      </c>
      <c r="AX36" s="132">
        <v>46093</v>
      </c>
      <c r="AY36" s="132">
        <v>47919</v>
      </c>
      <c r="AZ36" s="132" t="s">
        <v>71</v>
      </c>
      <c r="BA36" s="133" t="s">
        <v>71</v>
      </c>
      <c r="BB36" s="131" t="s">
        <v>71</v>
      </c>
      <c r="BC36" s="133" t="s">
        <v>71</v>
      </c>
      <c r="BD36" s="133" t="s">
        <v>71</v>
      </c>
      <c r="BE36" s="132">
        <v>46093</v>
      </c>
      <c r="BF36" s="133">
        <v>46108</v>
      </c>
      <c r="BG36" s="133">
        <v>46473</v>
      </c>
      <c r="BH36" s="132" t="s">
        <v>71</v>
      </c>
      <c r="BI36" s="133" t="s">
        <v>71</v>
      </c>
      <c r="BJ36" s="322" t="s">
        <v>100</v>
      </c>
      <c r="BK36" s="314" t="s">
        <v>525</v>
      </c>
      <c r="BL36" s="322">
        <v>46099</v>
      </c>
      <c r="BM36" s="322" t="s">
        <v>100</v>
      </c>
      <c r="BN36" s="322" t="s">
        <v>66</v>
      </c>
      <c r="BO36" s="318"/>
      <c r="BP36" s="135"/>
    </row>
    <row r="37" spans="1:69" ht="19.350000000000001" customHeight="1">
      <c r="A37" s="115" t="s">
        <v>140</v>
      </c>
      <c r="B37" s="115"/>
      <c r="C37" s="117"/>
      <c r="D37" s="113"/>
      <c r="E37" s="117"/>
      <c r="F37" s="115" t="s">
        <v>543</v>
      </c>
      <c r="G37" s="203" t="s">
        <v>70</v>
      </c>
      <c r="H37" s="117" t="s">
        <v>76</v>
      </c>
      <c r="I37" s="117" t="s">
        <v>63</v>
      </c>
      <c r="J37" s="117"/>
      <c r="K37" s="117"/>
      <c r="L37" s="113"/>
      <c r="M37" s="113"/>
      <c r="N37" s="76" t="s">
        <v>545</v>
      </c>
      <c r="O37" s="75" t="s">
        <v>547</v>
      </c>
      <c r="P37" s="75" t="s">
        <v>546</v>
      </c>
      <c r="Q37" s="113">
        <v>48068</v>
      </c>
      <c r="R37" s="113">
        <v>47575</v>
      </c>
      <c r="S37" s="122" t="s">
        <v>64</v>
      </c>
      <c r="T37" s="142" t="s">
        <v>77</v>
      </c>
      <c r="U37" s="75" t="s">
        <v>549</v>
      </c>
      <c r="V37" s="75" t="s">
        <v>548</v>
      </c>
      <c r="W37" s="203">
        <v>20091</v>
      </c>
      <c r="X37" s="222" t="s">
        <v>549</v>
      </c>
      <c r="Y37" s="204" t="s">
        <v>545</v>
      </c>
      <c r="Z37" s="117"/>
      <c r="AA37" s="117" t="s">
        <v>69</v>
      </c>
      <c r="AB37" s="113"/>
      <c r="AC37" s="117"/>
      <c r="AD37" s="117"/>
      <c r="AE37" s="113">
        <v>45551</v>
      </c>
      <c r="AF37" s="113"/>
      <c r="AG37" s="113">
        <v>45641</v>
      </c>
      <c r="AH37" s="117"/>
      <c r="AI37" s="117">
        <v>40</v>
      </c>
      <c r="AJ37" s="117"/>
      <c r="AK37" s="117" t="s">
        <v>81</v>
      </c>
      <c r="AL37" s="117"/>
      <c r="AM37" s="113"/>
      <c r="AN37" s="115" t="s">
        <v>68</v>
      </c>
      <c r="AO37" s="117" t="s">
        <v>66</v>
      </c>
      <c r="AP37" s="117">
        <v>3</v>
      </c>
      <c r="AQ37" s="117">
        <v>2025</v>
      </c>
      <c r="AR37" s="75" t="s">
        <v>551</v>
      </c>
      <c r="AS37" s="297" t="s">
        <v>144</v>
      </c>
      <c r="AT37" s="117" t="s">
        <v>66</v>
      </c>
      <c r="AU37" s="137">
        <v>45953</v>
      </c>
      <c r="AV37" s="122">
        <v>46318</v>
      </c>
      <c r="AW37" s="113">
        <v>44807</v>
      </c>
      <c r="AX37" s="113">
        <v>44807</v>
      </c>
      <c r="AY37" s="122">
        <v>46633</v>
      </c>
      <c r="AZ37" s="113">
        <v>44807</v>
      </c>
      <c r="BA37" s="122">
        <v>46633</v>
      </c>
      <c r="BB37" s="117">
        <v>2026</v>
      </c>
      <c r="BC37" s="122">
        <v>45510</v>
      </c>
      <c r="BD37" s="122">
        <v>47336</v>
      </c>
      <c r="BE37" s="122" t="s">
        <v>71</v>
      </c>
      <c r="BF37" s="113" t="s">
        <v>71</v>
      </c>
      <c r="BG37" s="122" t="s">
        <v>71</v>
      </c>
      <c r="BH37" s="113" t="s">
        <v>71</v>
      </c>
      <c r="BI37" s="122" t="s">
        <v>71</v>
      </c>
      <c r="BJ37" s="315" t="s">
        <v>140</v>
      </c>
      <c r="BK37" s="315" t="s">
        <v>508</v>
      </c>
      <c r="BL37" s="315">
        <v>46065</v>
      </c>
      <c r="BM37" s="315" t="s">
        <v>140</v>
      </c>
      <c r="BN37" s="321" t="s">
        <v>66</v>
      </c>
      <c r="BO37" s="321" t="s">
        <v>66</v>
      </c>
      <c r="BP37" s="141"/>
    </row>
    <row r="38" spans="1:69" ht="19.350000000000001" customHeight="1">
      <c r="A38" s="115" t="s">
        <v>140</v>
      </c>
      <c r="B38" s="75"/>
      <c r="C38" s="77"/>
      <c r="D38" s="76"/>
      <c r="E38" s="77"/>
      <c r="F38" s="75" t="s">
        <v>543</v>
      </c>
      <c r="G38" s="199" t="s">
        <v>78</v>
      </c>
      <c r="H38" s="77" t="s">
        <v>76</v>
      </c>
      <c r="I38" s="77" t="s">
        <v>63</v>
      </c>
      <c r="J38" s="77"/>
      <c r="K38" s="77"/>
      <c r="L38" s="76"/>
      <c r="M38" s="76"/>
      <c r="N38" s="76" t="s">
        <v>545</v>
      </c>
      <c r="O38" s="75" t="s">
        <v>547</v>
      </c>
      <c r="P38" s="75" t="s">
        <v>546</v>
      </c>
      <c r="Q38" s="76">
        <v>49062</v>
      </c>
      <c r="R38" s="76">
        <v>46038</v>
      </c>
      <c r="S38" s="76" t="s">
        <v>64</v>
      </c>
      <c r="T38" s="75" t="s">
        <v>77</v>
      </c>
      <c r="U38" s="75" t="s">
        <v>549</v>
      </c>
      <c r="V38" s="75" t="s">
        <v>548</v>
      </c>
      <c r="W38" s="199">
        <v>20037</v>
      </c>
      <c r="X38" s="222" t="s">
        <v>549</v>
      </c>
      <c r="Y38" s="204" t="s">
        <v>545</v>
      </c>
      <c r="Z38" s="76">
        <v>46303</v>
      </c>
      <c r="AA38" s="77" t="s">
        <v>69</v>
      </c>
      <c r="AB38" s="76"/>
      <c r="AC38" s="77"/>
      <c r="AD38" s="77"/>
      <c r="AE38" s="76">
        <v>46030</v>
      </c>
      <c r="AF38" s="76">
        <v>46119</v>
      </c>
      <c r="AG38" s="76"/>
      <c r="AH38" s="77"/>
      <c r="AI38" s="77">
        <v>36</v>
      </c>
      <c r="AJ38" s="77"/>
      <c r="AK38" s="77" t="s">
        <v>81</v>
      </c>
      <c r="AL38" s="77">
        <v>3</v>
      </c>
      <c r="AM38" s="76">
        <v>46120</v>
      </c>
      <c r="AN38" s="75" t="s">
        <v>68</v>
      </c>
      <c r="AO38" s="77" t="s">
        <v>66</v>
      </c>
      <c r="AP38" s="271" t="s">
        <v>64</v>
      </c>
      <c r="AQ38" s="271" t="s">
        <v>64</v>
      </c>
      <c r="AR38" s="75" t="s">
        <v>551</v>
      </c>
      <c r="AS38" s="286" t="s">
        <v>132</v>
      </c>
      <c r="AT38" s="77" t="s">
        <v>71</v>
      </c>
      <c r="AU38" s="110" t="s">
        <v>126</v>
      </c>
      <c r="AV38" s="78"/>
      <c r="AW38" s="76" t="s">
        <v>79</v>
      </c>
      <c r="AX38" s="76" t="s">
        <v>79</v>
      </c>
      <c r="AY38" s="78"/>
      <c r="AZ38" s="76" t="s">
        <v>71</v>
      </c>
      <c r="BA38" s="78" t="s">
        <v>71</v>
      </c>
      <c r="BB38" s="77" t="s">
        <v>71</v>
      </c>
      <c r="BC38" s="78" t="s">
        <v>71</v>
      </c>
      <c r="BD38" s="78" t="s">
        <v>71</v>
      </c>
      <c r="BE38" s="78" t="s">
        <v>71</v>
      </c>
      <c r="BF38" s="76" t="s">
        <v>71</v>
      </c>
      <c r="BG38" s="78" t="s">
        <v>71</v>
      </c>
      <c r="BH38" s="76" t="s">
        <v>71</v>
      </c>
      <c r="BI38" s="78" t="s">
        <v>71</v>
      </c>
      <c r="BJ38" s="312" t="s">
        <v>140</v>
      </c>
      <c r="BK38" s="312" t="s">
        <v>509</v>
      </c>
      <c r="BL38" s="312">
        <v>46065</v>
      </c>
      <c r="BM38" s="312" t="s">
        <v>140</v>
      </c>
      <c r="BN38" s="317" t="s">
        <v>66</v>
      </c>
      <c r="BO38" s="320"/>
      <c r="BP38" s="139"/>
    </row>
    <row r="39" spans="1:69" ht="19.350000000000001" customHeight="1" thickBot="1">
      <c r="A39" s="130" t="s">
        <v>140</v>
      </c>
      <c r="B39" s="130"/>
      <c r="C39" s="131"/>
      <c r="D39" s="132"/>
      <c r="E39" s="131"/>
      <c r="F39" s="130" t="s">
        <v>543</v>
      </c>
      <c r="G39" s="202" t="s">
        <v>90</v>
      </c>
      <c r="H39" s="131" t="s">
        <v>76</v>
      </c>
      <c r="I39" s="131" t="s">
        <v>63</v>
      </c>
      <c r="J39" s="131"/>
      <c r="K39" s="131"/>
      <c r="L39" s="132"/>
      <c r="M39" s="132"/>
      <c r="N39" s="76" t="s">
        <v>545</v>
      </c>
      <c r="O39" s="75" t="s">
        <v>547</v>
      </c>
      <c r="P39" s="75" t="s">
        <v>546</v>
      </c>
      <c r="Q39" s="132">
        <v>46742</v>
      </c>
      <c r="R39" s="132">
        <v>46721</v>
      </c>
      <c r="S39" s="133" t="s">
        <v>64</v>
      </c>
      <c r="T39" s="130" t="s">
        <v>77</v>
      </c>
      <c r="U39" s="75" t="s">
        <v>549</v>
      </c>
      <c r="V39" s="75" t="s">
        <v>548</v>
      </c>
      <c r="W39" s="202">
        <v>20053</v>
      </c>
      <c r="X39" s="222" t="s">
        <v>549</v>
      </c>
      <c r="Y39" s="204" t="s">
        <v>545</v>
      </c>
      <c r="Z39" s="131"/>
      <c r="AA39" s="131" t="s">
        <v>69</v>
      </c>
      <c r="AB39" s="132"/>
      <c r="AC39" s="131"/>
      <c r="AD39" s="131"/>
      <c r="AE39" s="132">
        <v>45075</v>
      </c>
      <c r="AF39" s="132"/>
      <c r="AG39" s="132"/>
      <c r="AH39" s="131"/>
      <c r="AI39" s="131">
        <v>40</v>
      </c>
      <c r="AJ39" s="131"/>
      <c r="AK39" s="131" t="s">
        <v>81</v>
      </c>
      <c r="AL39" s="131"/>
      <c r="AM39" s="132"/>
      <c r="AN39" s="130" t="s">
        <v>68</v>
      </c>
      <c r="AO39" s="131" t="s">
        <v>69</v>
      </c>
      <c r="AP39" s="131" t="s">
        <v>64</v>
      </c>
      <c r="AQ39" s="131" t="s">
        <v>64</v>
      </c>
      <c r="AR39" s="75" t="s">
        <v>551</v>
      </c>
      <c r="AS39" s="280" t="s">
        <v>145</v>
      </c>
      <c r="AT39" s="131" t="s">
        <v>66</v>
      </c>
      <c r="AU39" s="140">
        <v>45183</v>
      </c>
      <c r="AV39" s="133">
        <v>47010</v>
      </c>
      <c r="AW39" s="132">
        <v>45876</v>
      </c>
      <c r="AX39" s="132">
        <v>45876</v>
      </c>
      <c r="AY39" s="133" t="s">
        <v>92</v>
      </c>
      <c r="AZ39" s="132" t="s">
        <v>71</v>
      </c>
      <c r="BA39" s="133" t="s">
        <v>71</v>
      </c>
      <c r="BB39" s="131" t="s">
        <v>71</v>
      </c>
      <c r="BC39" s="133" t="s">
        <v>71</v>
      </c>
      <c r="BD39" s="133" t="s">
        <v>71</v>
      </c>
      <c r="BE39" s="133">
        <v>45484</v>
      </c>
      <c r="BF39" s="132">
        <v>45370</v>
      </c>
      <c r="BG39" s="133">
        <v>45735</v>
      </c>
      <c r="BH39" s="132">
        <v>45800</v>
      </c>
      <c r="BI39" s="133">
        <v>47626</v>
      </c>
      <c r="BJ39" s="314" t="s">
        <v>140</v>
      </c>
      <c r="BK39" s="314" t="s">
        <v>510</v>
      </c>
      <c r="BL39" s="314">
        <v>46065</v>
      </c>
      <c r="BM39" s="314" t="s">
        <v>140</v>
      </c>
      <c r="BN39" s="322" t="s">
        <v>66</v>
      </c>
      <c r="BO39" s="318"/>
      <c r="BP39" s="135"/>
    </row>
    <row r="40" spans="1:69" ht="19.350000000000001" customHeight="1">
      <c r="A40" s="115" t="s">
        <v>0</v>
      </c>
      <c r="B40" s="115"/>
      <c r="C40" s="117"/>
      <c r="D40" s="113"/>
      <c r="E40" s="117"/>
      <c r="F40" s="115" t="s">
        <v>543</v>
      </c>
      <c r="G40" s="203" t="s">
        <v>107</v>
      </c>
      <c r="H40" s="117" t="s">
        <v>76</v>
      </c>
      <c r="I40" s="117" t="s">
        <v>63</v>
      </c>
      <c r="J40" s="117"/>
      <c r="K40" s="117"/>
      <c r="L40" s="113"/>
      <c r="M40" s="113"/>
      <c r="N40" s="76" t="s">
        <v>545</v>
      </c>
      <c r="O40" s="75" t="s">
        <v>547</v>
      </c>
      <c r="P40" s="75" t="s">
        <v>546</v>
      </c>
      <c r="Q40" s="113">
        <v>48198</v>
      </c>
      <c r="R40" s="113">
        <v>46980</v>
      </c>
      <c r="S40" s="122" t="s">
        <v>64</v>
      </c>
      <c r="T40" s="115" t="s">
        <v>80</v>
      </c>
      <c r="U40" s="75" t="s">
        <v>549</v>
      </c>
      <c r="V40" s="75" t="s">
        <v>548</v>
      </c>
      <c r="W40" s="203">
        <v>21010</v>
      </c>
      <c r="X40" s="222" t="s">
        <v>549</v>
      </c>
      <c r="Y40" s="204" t="s">
        <v>545</v>
      </c>
      <c r="Z40" s="117"/>
      <c r="AA40" s="117" t="s">
        <v>69</v>
      </c>
      <c r="AB40" s="113"/>
      <c r="AC40" s="117"/>
      <c r="AD40" s="117"/>
      <c r="AE40" s="113">
        <v>45433</v>
      </c>
      <c r="AF40" s="113"/>
      <c r="AG40" s="113"/>
      <c r="AH40" s="117"/>
      <c r="AI40" s="117">
        <v>40</v>
      </c>
      <c r="AJ40" s="117"/>
      <c r="AK40" s="117" t="s">
        <v>81</v>
      </c>
      <c r="AL40" s="117"/>
      <c r="AM40" s="113"/>
      <c r="AN40" s="115" t="s">
        <v>147</v>
      </c>
      <c r="AO40" s="117" t="s">
        <v>66</v>
      </c>
      <c r="AP40" s="117" t="s">
        <v>64</v>
      </c>
      <c r="AQ40" s="117" t="s">
        <v>64</v>
      </c>
      <c r="AR40" s="75" t="s">
        <v>551</v>
      </c>
      <c r="AS40" s="297" t="s">
        <v>74</v>
      </c>
      <c r="AT40" s="123" t="s">
        <v>71</v>
      </c>
      <c r="AU40" s="137">
        <v>44317</v>
      </c>
      <c r="AV40" s="122">
        <v>46143</v>
      </c>
      <c r="AW40" s="113">
        <v>45733</v>
      </c>
      <c r="AX40" s="113">
        <v>45733</v>
      </c>
      <c r="AY40" s="122">
        <v>47559</v>
      </c>
      <c r="AZ40" s="113" t="s">
        <v>71</v>
      </c>
      <c r="BA40" s="122" t="s">
        <v>71</v>
      </c>
      <c r="BB40" s="117" t="s">
        <v>71</v>
      </c>
      <c r="BC40" s="122" t="s">
        <v>71</v>
      </c>
      <c r="BD40" s="122" t="s">
        <v>71</v>
      </c>
      <c r="BE40" s="122" t="s">
        <v>71</v>
      </c>
      <c r="BF40" s="113" t="s">
        <v>71</v>
      </c>
      <c r="BG40" s="122" t="s">
        <v>71</v>
      </c>
      <c r="BH40" s="113" t="s">
        <v>71</v>
      </c>
      <c r="BI40" s="122" t="s">
        <v>71</v>
      </c>
      <c r="BJ40" s="315"/>
      <c r="BK40" s="319"/>
      <c r="BL40" s="319"/>
      <c r="BM40" s="319"/>
      <c r="BN40" s="319"/>
      <c r="BO40" s="319"/>
      <c r="BP40" s="141"/>
    </row>
    <row r="41" spans="1:69" ht="19.350000000000001" customHeight="1">
      <c r="A41" s="75" t="s">
        <v>0</v>
      </c>
      <c r="B41" s="75"/>
      <c r="C41" s="77"/>
      <c r="D41" s="76"/>
      <c r="E41" s="77"/>
      <c r="F41" s="75" t="s">
        <v>543</v>
      </c>
      <c r="G41" s="199" t="s">
        <v>150</v>
      </c>
      <c r="H41" s="77" t="s">
        <v>76</v>
      </c>
      <c r="I41" s="77" t="s">
        <v>63</v>
      </c>
      <c r="J41" s="77"/>
      <c r="K41" s="77"/>
      <c r="L41" s="76"/>
      <c r="M41" s="76"/>
      <c r="N41" s="76" t="s">
        <v>545</v>
      </c>
      <c r="O41" s="75" t="s">
        <v>547</v>
      </c>
      <c r="P41" s="75" t="s">
        <v>546</v>
      </c>
      <c r="Q41" s="76">
        <v>46258</v>
      </c>
      <c r="R41" s="76">
        <v>46868</v>
      </c>
      <c r="S41" s="78" t="s">
        <v>64</v>
      </c>
      <c r="T41" s="75" t="s">
        <v>80</v>
      </c>
      <c r="U41" s="75" t="s">
        <v>549</v>
      </c>
      <c r="V41" s="75" t="s">
        <v>548</v>
      </c>
      <c r="W41" s="199">
        <v>20832</v>
      </c>
      <c r="X41" s="222" t="s">
        <v>549</v>
      </c>
      <c r="Y41" s="204" t="s">
        <v>545</v>
      </c>
      <c r="Z41" s="77"/>
      <c r="AA41" s="77" t="s">
        <v>69</v>
      </c>
      <c r="AB41" s="76"/>
      <c r="AC41" s="77"/>
      <c r="AD41" s="77"/>
      <c r="AE41" s="76">
        <v>45293</v>
      </c>
      <c r="AF41" s="76"/>
      <c r="AG41" s="76"/>
      <c r="AH41" s="77" t="s">
        <v>148</v>
      </c>
      <c r="AI41" s="77">
        <v>40</v>
      </c>
      <c r="AJ41" s="77"/>
      <c r="AK41" s="77" t="s">
        <v>81</v>
      </c>
      <c r="AL41" s="77"/>
      <c r="AM41" s="76"/>
      <c r="AN41" s="75" t="s">
        <v>147</v>
      </c>
      <c r="AO41" s="77" t="s">
        <v>69</v>
      </c>
      <c r="AP41" s="77" t="s">
        <v>64</v>
      </c>
      <c r="AQ41" s="77" t="s">
        <v>64</v>
      </c>
      <c r="AR41" s="75" t="s">
        <v>551</v>
      </c>
      <c r="AS41" s="286" t="s">
        <v>149</v>
      </c>
      <c r="AT41" s="77" t="s">
        <v>66</v>
      </c>
      <c r="AU41" s="110">
        <v>46066</v>
      </c>
      <c r="AV41" s="78">
        <v>47892</v>
      </c>
      <c r="AW41" s="76">
        <v>44256</v>
      </c>
      <c r="AX41" s="76">
        <v>46099</v>
      </c>
      <c r="AY41" s="76">
        <v>47925</v>
      </c>
      <c r="AZ41" s="76" t="s">
        <v>71</v>
      </c>
      <c r="BA41" s="78" t="s">
        <v>71</v>
      </c>
      <c r="BB41" s="77" t="s">
        <v>71</v>
      </c>
      <c r="BC41" s="78" t="s">
        <v>71</v>
      </c>
      <c r="BD41" s="78" t="s">
        <v>71</v>
      </c>
      <c r="BE41" s="78" t="s">
        <v>71</v>
      </c>
      <c r="BF41" s="76">
        <v>44991</v>
      </c>
      <c r="BG41" s="78" t="s">
        <v>71</v>
      </c>
      <c r="BH41" s="76">
        <v>44256</v>
      </c>
      <c r="BI41" s="78" t="s">
        <v>71</v>
      </c>
      <c r="BJ41" s="312"/>
      <c r="BK41" s="320"/>
      <c r="BL41" s="320"/>
      <c r="BM41" s="320"/>
      <c r="BN41" s="320"/>
      <c r="BO41" s="320"/>
      <c r="BP41" s="139"/>
    </row>
    <row r="42" spans="1:69" ht="19.350000000000001" customHeight="1">
      <c r="A42" s="75" t="s">
        <v>0</v>
      </c>
      <c r="B42" s="75"/>
      <c r="C42" s="77"/>
      <c r="D42" s="76"/>
      <c r="E42" s="77"/>
      <c r="F42" s="75" t="s">
        <v>543</v>
      </c>
      <c r="G42" s="199" t="s">
        <v>152</v>
      </c>
      <c r="H42" s="77" t="s">
        <v>76</v>
      </c>
      <c r="I42" s="77" t="s">
        <v>89</v>
      </c>
      <c r="J42" s="77"/>
      <c r="K42" s="77"/>
      <c r="L42" s="76"/>
      <c r="M42" s="76"/>
      <c r="N42" s="76" t="s">
        <v>545</v>
      </c>
      <c r="O42" s="75" t="s">
        <v>547</v>
      </c>
      <c r="P42" s="75" t="s">
        <v>546</v>
      </c>
      <c r="Q42" s="76">
        <v>48325</v>
      </c>
      <c r="R42" s="76">
        <v>46762</v>
      </c>
      <c r="S42" s="78" t="s">
        <v>64</v>
      </c>
      <c r="T42" s="75" t="s">
        <v>77</v>
      </c>
      <c r="U42" s="75" t="s">
        <v>549</v>
      </c>
      <c r="V42" s="75" t="s">
        <v>548</v>
      </c>
      <c r="W42" s="199">
        <v>28053</v>
      </c>
      <c r="X42" s="222" t="s">
        <v>549</v>
      </c>
      <c r="Y42" s="204" t="s">
        <v>545</v>
      </c>
      <c r="Z42" s="76"/>
      <c r="AA42" s="77" t="s">
        <v>69</v>
      </c>
      <c r="AB42" s="76"/>
      <c r="AC42" s="77"/>
      <c r="AD42" s="77"/>
      <c r="AE42" s="76">
        <v>45901</v>
      </c>
      <c r="AF42" s="76"/>
      <c r="AG42" s="76">
        <v>45918</v>
      </c>
      <c r="AH42" s="76"/>
      <c r="AI42" s="77">
        <v>40</v>
      </c>
      <c r="AJ42" s="76"/>
      <c r="AK42" s="77" t="s">
        <v>81</v>
      </c>
      <c r="AL42" s="77">
        <v>6</v>
      </c>
      <c r="AM42" s="76">
        <v>46112</v>
      </c>
      <c r="AN42" s="75" t="s">
        <v>147</v>
      </c>
      <c r="AO42" s="77" t="s">
        <v>66</v>
      </c>
      <c r="AP42" s="77">
        <v>9</v>
      </c>
      <c r="AQ42" s="77">
        <v>2025</v>
      </c>
      <c r="AR42" s="75" t="s">
        <v>551</v>
      </c>
      <c r="AS42" s="286" t="s">
        <v>151</v>
      </c>
      <c r="AT42" s="77" t="s">
        <v>71</v>
      </c>
      <c r="AU42" s="110">
        <v>46129</v>
      </c>
      <c r="AV42" s="76">
        <v>47955</v>
      </c>
      <c r="AW42" s="76" t="s">
        <v>98</v>
      </c>
      <c r="AX42" s="76" t="s">
        <v>98</v>
      </c>
      <c r="AY42" s="78"/>
      <c r="AZ42" s="76" t="s">
        <v>71</v>
      </c>
      <c r="BA42" s="78" t="s">
        <v>71</v>
      </c>
      <c r="BB42" s="77" t="s">
        <v>71</v>
      </c>
      <c r="BC42" s="78" t="s">
        <v>71</v>
      </c>
      <c r="BD42" s="78" t="s">
        <v>71</v>
      </c>
      <c r="BE42" s="78" t="s">
        <v>71</v>
      </c>
      <c r="BF42" s="76" t="s">
        <v>71</v>
      </c>
      <c r="BG42" s="78" t="s">
        <v>71</v>
      </c>
      <c r="BH42" s="76" t="s">
        <v>71</v>
      </c>
      <c r="BI42" s="78" t="s">
        <v>71</v>
      </c>
      <c r="BJ42" s="312"/>
      <c r="BK42" s="320"/>
      <c r="BL42" s="320"/>
      <c r="BM42" s="320"/>
      <c r="BN42" s="320"/>
      <c r="BO42" s="320"/>
      <c r="BP42" s="139"/>
    </row>
    <row r="43" spans="1:69" ht="19.350000000000001" customHeight="1">
      <c r="A43" s="75" t="s">
        <v>0</v>
      </c>
      <c r="B43" s="75"/>
      <c r="C43" s="77"/>
      <c r="D43" s="76"/>
      <c r="E43" s="77"/>
      <c r="F43" s="75" t="s">
        <v>543</v>
      </c>
      <c r="G43" s="199" t="s">
        <v>153</v>
      </c>
      <c r="H43" s="77" t="s">
        <v>76</v>
      </c>
      <c r="I43" s="77" t="s">
        <v>89</v>
      </c>
      <c r="J43" s="77"/>
      <c r="K43" s="77"/>
      <c r="L43" s="76"/>
      <c r="M43" s="76"/>
      <c r="N43" s="76" t="s">
        <v>545</v>
      </c>
      <c r="O43" s="75" t="s">
        <v>547</v>
      </c>
      <c r="P43" s="75" t="s">
        <v>546</v>
      </c>
      <c r="Q43" s="76">
        <v>47256</v>
      </c>
      <c r="R43" s="76">
        <v>44754</v>
      </c>
      <c r="S43" s="78" t="s">
        <v>64</v>
      </c>
      <c r="T43" s="75" t="s">
        <v>80</v>
      </c>
      <c r="U43" s="75" t="s">
        <v>549</v>
      </c>
      <c r="V43" s="75" t="s">
        <v>548</v>
      </c>
      <c r="W43" s="199">
        <v>20832</v>
      </c>
      <c r="X43" s="222" t="s">
        <v>549</v>
      </c>
      <c r="Y43" s="204" t="s">
        <v>545</v>
      </c>
      <c r="Z43" s="77"/>
      <c r="AA43" s="77" t="s">
        <v>69</v>
      </c>
      <c r="AB43" s="76"/>
      <c r="AC43" s="77"/>
      <c r="AD43" s="77"/>
      <c r="AE43" s="76">
        <v>44107</v>
      </c>
      <c r="AF43" s="76"/>
      <c r="AG43" s="76"/>
      <c r="AH43" s="77"/>
      <c r="AI43" s="77">
        <v>40</v>
      </c>
      <c r="AJ43" s="77"/>
      <c r="AK43" s="77" t="s">
        <v>81</v>
      </c>
      <c r="AL43" s="77"/>
      <c r="AM43" s="76"/>
      <c r="AN43" s="75" t="s">
        <v>147</v>
      </c>
      <c r="AO43" s="77" t="s">
        <v>69</v>
      </c>
      <c r="AP43" s="77" t="s">
        <v>64</v>
      </c>
      <c r="AQ43" s="77" t="s">
        <v>64</v>
      </c>
      <c r="AR43" s="75" t="s">
        <v>551</v>
      </c>
      <c r="AS43" s="286"/>
      <c r="AT43" s="79" t="s">
        <v>71</v>
      </c>
      <c r="AU43" s="110">
        <v>44600</v>
      </c>
      <c r="AV43" s="78">
        <v>46426</v>
      </c>
      <c r="AW43" s="76">
        <v>44256</v>
      </c>
      <c r="AX43" s="76">
        <v>46098</v>
      </c>
      <c r="AY43" s="78">
        <v>47924</v>
      </c>
      <c r="AZ43" s="76" t="s">
        <v>71</v>
      </c>
      <c r="BA43" s="78" t="s">
        <v>71</v>
      </c>
      <c r="BB43" s="77" t="s">
        <v>71</v>
      </c>
      <c r="BC43" s="78" t="s">
        <v>71</v>
      </c>
      <c r="BD43" s="78" t="s">
        <v>71</v>
      </c>
      <c r="BE43" s="78" t="s">
        <v>71</v>
      </c>
      <c r="BF43" s="76" t="s">
        <v>71</v>
      </c>
      <c r="BG43" s="78" t="s">
        <v>71</v>
      </c>
      <c r="BH43" s="76" t="s">
        <v>71</v>
      </c>
      <c r="BI43" s="78" t="s">
        <v>71</v>
      </c>
      <c r="BJ43" s="312"/>
      <c r="BK43" s="320"/>
      <c r="BL43" s="320"/>
      <c r="BM43" s="320"/>
      <c r="BN43" s="320"/>
      <c r="BO43" s="320"/>
      <c r="BP43" s="139"/>
    </row>
    <row r="44" spans="1:69" ht="19.350000000000001" customHeight="1" thickBot="1">
      <c r="A44" s="130" t="s">
        <v>0</v>
      </c>
      <c r="B44" s="130"/>
      <c r="C44" s="202"/>
      <c r="D44" s="132"/>
      <c r="E44" s="205"/>
      <c r="F44" s="130" t="s">
        <v>543</v>
      </c>
      <c r="G44" s="202" t="s">
        <v>154</v>
      </c>
      <c r="H44" s="131" t="s">
        <v>76</v>
      </c>
      <c r="I44" s="131" t="s">
        <v>63</v>
      </c>
      <c r="J44" s="131"/>
      <c r="K44" s="131"/>
      <c r="L44" s="132"/>
      <c r="M44" s="132"/>
      <c r="N44" s="76" t="s">
        <v>545</v>
      </c>
      <c r="O44" s="75" t="s">
        <v>547</v>
      </c>
      <c r="P44" s="75" t="s">
        <v>546</v>
      </c>
      <c r="Q44" s="132">
        <v>49090</v>
      </c>
      <c r="R44" s="132">
        <v>46919</v>
      </c>
      <c r="S44" s="279" t="s">
        <v>64</v>
      </c>
      <c r="T44" s="130" t="s">
        <v>77</v>
      </c>
      <c r="U44" s="75" t="s">
        <v>549</v>
      </c>
      <c r="V44" s="75" t="s">
        <v>548</v>
      </c>
      <c r="W44" s="202">
        <v>21019</v>
      </c>
      <c r="X44" s="222" t="s">
        <v>549</v>
      </c>
      <c r="Y44" s="204" t="s">
        <v>545</v>
      </c>
      <c r="Z44" s="131"/>
      <c r="AA44" s="131" t="s">
        <v>69</v>
      </c>
      <c r="AB44" s="132"/>
      <c r="AC44" s="131"/>
      <c r="AD44" s="131"/>
      <c r="AE44" s="134">
        <v>45740</v>
      </c>
      <c r="AF44" s="132"/>
      <c r="AG44" s="132">
        <v>45745</v>
      </c>
      <c r="AH44" s="205"/>
      <c r="AI44" s="131">
        <v>36</v>
      </c>
      <c r="AJ44" s="131"/>
      <c r="AK44" s="131" t="s">
        <v>81</v>
      </c>
      <c r="AL44" s="131">
        <v>3</v>
      </c>
      <c r="AM44" s="132">
        <v>45992</v>
      </c>
      <c r="AN44" s="130" t="s">
        <v>147</v>
      </c>
      <c r="AO44" s="131" t="s">
        <v>66</v>
      </c>
      <c r="AP44" s="131" t="s">
        <v>64</v>
      </c>
      <c r="AQ44" s="131" t="s">
        <v>64</v>
      </c>
      <c r="AR44" s="75" t="s">
        <v>551</v>
      </c>
      <c r="AS44" s="290" t="s">
        <v>74</v>
      </c>
      <c r="AT44" s="131" t="s">
        <v>71</v>
      </c>
      <c r="AU44" s="140">
        <v>45269</v>
      </c>
      <c r="AV44" s="133">
        <v>47096</v>
      </c>
      <c r="AW44" s="132">
        <v>45257</v>
      </c>
      <c r="AX44" s="132">
        <v>45257</v>
      </c>
      <c r="AY44" s="133">
        <v>47084</v>
      </c>
      <c r="AZ44" s="132" t="s">
        <v>71</v>
      </c>
      <c r="BA44" s="133" t="s">
        <v>71</v>
      </c>
      <c r="BB44" s="131" t="s">
        <v>71</v>
      </c>
      <c r="BC44" s="133" t="s">
        <v>71</v>
      </c>
      <c r="BD44" s="133" t="s">
        <v>71</v>
      </c>
      <c r="BE44" s="133" t="s">
        <v>71</v>
      </c>
      <c r="BF44" s="132" t="s">
        <v>71</v>
      </c>
      <c r="BG44" s="133" t="s">
        <v>71</v>
      </c>
      <c r="BH44" s="132" t="s">
        <v>71</v>
      </c>
      <c r="BI44" s="133" t="s">
        <v>71</v>
      </c>
      <c r="BJ44" s="314"/>
      <c r="BK44" s="318"/>
      <c r="BL44" s="318"/>
      <c r="BM44" s="318"/>
      <c r="BN44" s="318"/>
      <c r="BO44" s="318"/>
      <c r="BP44" s="135"/>
    </row>
    <row r="45" spans="1:69" ht="19.350000000000001" customHeight="1">
      <c r="A45" s="115" t="s">
        <v>155</v>
      </c>
      <c r="B45" s="115"/>
      <c r="C45" s="117"/>
      <c r="D45" s="113"/>
      <c r="E45" s="114"/>
      <c r="F45" s="115" t="s">
        <v>543</v>
      </c>
      <c r="G45" s="233" t="s">
        <v>90</v>
      </c>
      <c r="H45" s="114" t="s">
        <v>76</v>
      </c>
      <c r="I45" s="114" t="s">
        <v>89</v>
      </c>
      <c r="J45" s="114"/>
      <c r="K45" s="114"/>
      <c r="L45" s="118"/>
      <c r="M45" s="118"/>
      <c r="N45" s="76" t="s">
        <v>545</v>
      </c>
      <c r="O45" s="75" t="s">
        <v>547</v>
      </c>
      <c r="P45" s="75" t="s">
        <v>546</v>
      </c>
      <c r="Q45" s="113">
        <v>48483</v>
      </c>
      <c r="R45" s="113">
        <v>47485</v>
      </c>
      <c r="S45" s="232" t="s">
        <v>64</v>
      </c>
      <c r="T45" s="116" t="s">
        <v>77</v>
      </c>
      <c r="U45" s="75" t="s">
        <v>549</v>
      </c>
      <c r="V45" s="75" t="s">
        <v>548</v>
      </c>
      <c r="W45" s="233">
        <v>20042</v>
      </c>
      <c r="X45" s="222" t="s">
        <v>549</v>
      </c>
      <c r="Y45" s="204" t="s">
        <v>545</v>
      </c>
      <c r="Z45" s="114"/>
      <c r="AA45" s="114" t="s">
        <v>69</v>
      </c>
      <c r="AB45" s="118"/>
      <c r="AC45" s="114"/>
      <c r="AD45" s="114"/>
      <c r="AE45" s="118">
        <v>45236</v>
      </c>
      <c r="AF45" s="113"/>
      <c r="AG45" s="113">
        <v>45416</v>
      </c>
      <c r="AH45" s="114"/>
      <c r="AI45" s="114">
        <v>40</v>
      </c>
      <c r="AJ45" s="114"/>
      <c r="AK45" s="114" t="s">
        <v>81</v>
      </c>
      <c r="AL45" s="114"/>
      <c r="AM45" s="118"/>
      <c r="AN45" s="116" t="s">
        <v>68</v>
      </c>
      <c r="AO45" s="114" t="s">
        <v>69</v>
      </c>
      <c r="AP45" s="114" t="s">
        <v>64</v>
      </c>
      <c r="AQ45" s="114" t="s">
        <v>64</v>
      </c>
      <c r="AR45" s="75" t="s">
        <v>551</v>
      </c>
      <c r="AS45" s="299" t="s">
        <v>156</v>
      </c>
      <c r="AT45" s="114" t="s">
        <v>66</v>
      </c>
      <c r="AU45" s="137">
        <v>45538</v>
      </c>
      <c r="AV45" s="122">
        <v>47364</v>
      </c>
      <c r="AW45" s="113">
        <v>45759</v>
      </c>
      <c r="AX45" s="113">
        <v>45759</v>
      </c>
      <c r="AY45" s="122" t="s">
        <v>92</v>
      </c>
      <c r="AZ45" s="113" t="s">
        <v>71</v>
      </c>
      <c r="BA45" s="122" t="s">
        <v>71</v>
      </c>
      <c r="BB45" s="117" t="s">
        <v>71</v>
      </c>
      <c r="BC45" s="122" t="s">
        <v>71</v>
      </c>
      <c r="BD45" s="122" t="s">
        <v>71</v>
      </c>
      <c r="BE45" s="122">
        <v>45491</v>
      </c>
      <c r="BF45" s="113">
        <v>45756</v>
      </c>
      <c r="BG45" s="122">
        <v>46121</v>
      </c>
      <c r="BH45" s="113">
        <v>45373</v>
      </c>
      <c r="BI45" s="122">
        <v>47199</v>
      </c>
      <c r="BJ45" s="321" t="s">
        <v>155</v>
      </c>
      <c r="BK45" s="315" t="s">
        <v>514</v>
      </c>
      <c r="BL45" s="321">
        <v>46065</v>
      </c>
      <c r="BM45" s="321" t="s">
        <v>155</v>
      </c>
      <c r="BN45" s="321" t="s">
        <v>66</v>
      </c>
      <c r="BO45" s="319"/>
      <c r="BP45" s="141"/>
    </row>
    <row r="46" spans="1:69" ht="19.350000000000001" customHeight="1">
      <c r="A46" s="75" t="s">
        <v>155</v>
      </c>
      <c r="B46" s="75"/>
      <c r="C46" s="77"/>
      <c r="D46" s="76"/>
      <c r="E46" s="77"/>
      <c r="F46" s="75" t="s">
        <v>543</v>
      </c>
      <c r="G46" s="199" t="s">
        <v>78</v>
      </c>
      <c r="H46" s="77" t="s">
        <v>76</v>
      </c>
      <c r="I46" s="77" t="s">
        <v>63</v>
      </c>
      <c r="J46" s="77"/>
      <c r="K46" s="77"/>
      <c r="L46" s="76"/>
      <c r="M46" s="76"/>
      <c r="N46" s="76" t="s">
        <v>545</v>
      </c>
      <c r="O46" s="75" t="s">
        <v>547</v>
      </c>
      <c r="P46" s="75" t="s">
        <v>546</v>
      </c>
      <c r="Q46" s="76">
        <v>46894</v>
      </c>
      <c r="R46" s="76">
        <v>47581</v>
      </c>
      <c r="S46" s="78" t="s">
        <v>64</v>
      </c>
      <c r="T46" s="75" t="s">
        <v>77</v>
      </c>
      <c r="U46" s="75" t="s">
        <v>549</v>
      </c>
      <c r="V46" s="75" t="s">
        <v>548</v>
      </c>
      <c r="W46" s="77">
        <v>26858</v>
      </c>
      <c r="X46" s="222" t="s">
        <v>549</v>
      </c>
      <c r="Y46" s="204" t="s">
        <v>545</v>
      </c>
      <c r="Z46" s="77"/>
      <c r="AA46" s="77" t="s">
        <v>69</v>
      </c>
      <c r="AB46" s="76"/>
      <c r="AC46" s="77"/>
      <c r="AD46" s="77"/>
      <c r="AE46" s="76">
        <v>45839</v>
      </c>
      <c r="AF46" s="76">
        <v>46037</v>
      </c>
      <c r="AG46" s="76">
        <v>45845</v>
      </c>
      <c r="AH46" s="77"/>
      <c r="AI46" s="77">
        <v>36</v>
      </c>
      <c r="AJ46" s="77"/>
      <c r="AK46" s="77" t="s">
        <v>81</v>
      </c>
      <c r="AL46" s="77"/>
      <c r="AM46" s="76">
        <v>46128</v>
      </c>
      <c r="AN46" s="75" t="s">
        <v>68</v>
      </c>
      <c r="AO46" s="77" t="s">
        <v>69</v>
      </c>
      <c r="AP46" s="77" t="s">
        <v>64</v>
      </c>
      <c r="AQ46" s="77" t="s">
        <v>64</v>
      </c>
      <c r="AR46" s="75" t="s">
        <v>551</v>
      </c>
      <c r="AS46" s="288" t="s">
        <v>102</v>
      </c>
      <c r="AT46" s="77" t="s">
        <v>71</v>
      </c>
      <c r="AU46" s="110">
        <v>46084</v>
      </c>
      <c r="AV46" s="76">
        <v>47910</v>
      </c>
      <c r="AW46" s="76">
        <v>45495</v>
      </c>
      <c r="AX46" s="76">
        <v>45495</v>
      </c>
      <c r="AY46" s="78">
        <v>47321</v>
      </c>
      <c r="AZ46" s="76" t="s">
        <v>71</v>
      </c>
      <c r="BA46" s="78" t="s">
        <v>71</v>
      </c>
      <c r="BB46" s="77" t="s">
        <v>71</v>
      </c>
      <c r="BC46" s="78" t="s">
        <v>71</v>
      </c>
      <c r="BD46" s="78" t="s">
        <v>71</v>
      </c>
      <c r="BE46" s="78" t="s">
        <v>71</v>
      </c>
      <c r="BF46" s="76" t="s">
        <v>71</v>
      </c>
      <c r="BG46" s="78" t="s">
        <v>71</v>
      </c>
      <c r="BH46" s="76" t="s">
        <v>71</v>
      </c>
      <c r="BI46" s="78" t="s">
        <v>71</v>
      </c>
      <c r="BJ46" s="317" t="s">
        <v>155</v>
      </c>
      <c r="BK46" s="312" t="s">
        <v>515</v>
      </c>
      <c r="BL46" s="317">
        <v>46065</v>
      </c>
      <c r="BM46" s="317" t="s">
        <v>155</v>
      </c>
      <c r="BN46" s="317" t="s">
        <v>66</v>
      </c>
      <c r="BO46" s="320"/>
      <c r="BP46" s="139"/>
    </row>
    <row r="47" spans="1:69" s="88" customFormat="1" ht="19.350000000000001" customHeight="1" thickBot="1">
      <c r="A47" s="130" t="s">
        <v>155</v>
      </c>
      <c r="B47" s="131"/>
      <c r="C47" s="273"/>
      <c r="D47" s="132"/>
      <c r="E47" s="274"/>
      <c r="F47" s="130" t="s">
        <v>543</v>
      </c>
      <c r="G47" s="202" t="s">
        <v>70</v>
      </c>
      <c r="H47" s="131" t="s">
        <v>76</v>
      </c>
      <c r="I47" s="131" t="s">
        <v>63</v>
      </c>
      <c r="J47" s="131"/>
      <c r="K47" s="131"/>
      <c r="L47" s="132"/>
      <c r="M47" s="132"/>
      <c r="N47" s="76" t="s">
        <v>545</v>
      </c>
      <c r="O47" s="75" t="s">
        <v>547</v>
      </c>
      <c r="P47" s="75" t="s">
        <v>546</v>
      </c>
      <c r="Q47" s="132">
        <v>49406</v>
      </c>
      <c r="R47" s="132">
        <v>46419</v>
      </c>
      <c r="S47" s="279"/>
      <c r="T47" s="130" t="s">
        <v>82</v>
      </c>
      <c r="U47" s="75" t="s">
        <v>549</v>
      </c>
      <c r="V47" s="75" t="s">
        <v>548</v>
      </c>
      <c r="W47" s="131">
        <v>26839</v>
      </c>
      <c r="X47" s="222" t="s">
        <v>549</v>
      </c>
      <c r="Y47" s="204" t="s">
        <v>545</v>
      </c>
      <c r="Z47" s="131"/>
      <c r="AA47" s="131" t="s">
        <v>69</v>
      </c>
      <c r="AB47" s="132"/>
      <c r="AC47" s="131"/>
      <c r="AD47" s="131"/>
      <c r="AE47" s="134">
        <v>46113</v>
      </c>
      <c r="AF47" s="132">
        <v>46265</v>
      </c>
      <c r="AG47" s="132">
        <v>46135</v>
      </c>
      <c r="AH47" s="205"/>
      <c r="AI47" s="131">
        <v>36</v>
      </c>
      <c r="AJ47" s="131"/>
      <c r="AK47" s="131" t="s">
        <v>67</v>
      </c>
      <c r="AL47" s="131">
        <v>4.5</v>
      </c>
      <c r="AM47" s="132"/>
      <c r="AN47" s="130" t="s">
        <v>68</v>
      </c>
      <c r="AO47" s="131" t="s">
        <v>69</v>
      </c>
      <c r="AP47" s="131"/>
      <c r="AQ47" s="131"/>
      <c r="AR47" s="75" t="s">
        <v>551</v>
      </c>
      <c r="AS47" s="144" t="s">
        <v>457</v>
      </c>
      <c r="AT47" s="131" t="s">
        <v>472</v>
      </c>
      <c r="AU47" s="132" t="s">
        <v>474</v>
      </c>
      <c r="AV47" s="133"/>
      <c r="AW47" s="132">
        <v>45467</v>
      </c>
      <c r="AX47" s="132">
        <v>45467</v>
      </c>
      <c r="AY47" s="133">
        <v>47293</v>
      </c>
      <c r="AZ47" s="132">
        <v>45467</v>
      </c>
      <c r="BA47" s="133">
        <v>47293</v>
      </c>
      <c r="BB47" s="130"/>
      <c r="BC47" s="132" t="s">
        <v>458</v>
      </c>
      <c r="BD47" s="133"/>
      <c r="BE47" s="133"/>
      <c r="BF47" s="132"/>
      <c r="BG47" s="133"/>
      <c r="BH47" s="132"/>
      <c r="BI47" s="133"/>
      <c r="BJ47" s="327" t="s">
        <v>155</v>
      </c>
      <c r="BK47" s="327"/>
      <c r="BL47" s="327"/>
      <c r="BM47" s="322" t="s">
        <v>155</v>
      </c>
      <c r="BN47" s="322" t="s">
        <v>66</v>
      </c>
      <c r="BO47" s="322" t="s">
        <v>66</v>
      </c>
      <c r="BP47" s="135"/>
    </row>
    <row r="48" spans="1:69" s="88" customFormat="1" ht="19.350000000000001" customHeight="1">
      <c r="A48" s="126" t="s">
        <v>146</v>
      </c>
      <c r="B48" s="126"/>
      <c r="C48" s="127"/>
      <c r="D48" s="128"/>
      <c r="E48" s="128"/>
      <c r="F48" s="115" t="s">
        <v>543</v>
      </c>
      <c r="G48" s="399" t="s">
        <v>90</v>
      </c>
      <c r="H48" s="127" t="s">
        <v>76</v>
      </c>
      <c r="I48" s="127" t="s">
        <v>63</v>
      </c>
      <c r="J48" s="127"/>
      <c r="K48" s="127"/>
      <c r="L48" s="128"/>
      <c r="M48" s="128"/>
      <c r="N48" s="76" t="s">
        <v>545</v>
      </c>
      <c r="O48" s="75" t="s">
        <v>547</v>
      </c>
      <c r="P48" s="75" t="s">
        <v>546</v>
      </c>
      <c r="Q48" s="128">
        <v>46473</v>
      </c>
      <c r="R48" s="128">
        <v>46727</v>
      </c>
      <c r="S48" s="400" t="s">
        <v>64</v>
      </c>
      <c r="T48" s="126" t="s">
        <v>80</v>
      </c>
      <c r="U48" s="75" t="s">
        <v>549</v>
      </c>
      <c r="V48" s="75" t="s">
        <v>548</v>
      </c>
      <c r="W48" s="201">
        <v>21041</v>
      </c>
      <c r="X48" s="222" t="s">
        <v>549</v>
      </c>
      <c r="Y48" s="204" t="s">
        <v>545</v>
      </c>
      <c r="Z48" s="127"/>
      <c r="AA48" s="127" t="s">
        <v>69</v>
      </c>
      <c r="AB48" s="128"/>
      <c r="AC48" s="127"/>
      <c r="AD48" s="127"/>
      <c r="AE48" s="128">
        <v>44935</v>
      </c>
      <c r="AF48" s="128"/>
      <c r="AG48" s="401"/>
      <c r="AH48" s="127" t="s">
        <v>96</v>
      </c>
      <c r="AI48" s="127">
        <v>40</v>
      </c>
      <c r="AJ48" s="128">
        <v>45474</v>
      </c>
      <c r="AK48" s="127" t="s">
        <v>81</v>
      </c>
      <c r="AL48" s="127"/>
      <c r="AM48" s="128"/>
      <c r="AN48" s="402" t="s">
        <v>68</v>
      </c>
      <c r="AO48" s="403" t="s">
        <v>69</v>
      </c>
      <c r="AP48" s="403" t="s">
        <v>64</v>
      </c>
      <c r="AQ48" s="403" t="s">
        <v>64</v>
      </c>
      <c r="AR48" s="75" t="s">
        <v>551</v>
      </c>
      <c r="AS48" s="404" t="s">
        <v>157</v>
      </c>
      <c r="AT48" s="403" t="s">
        <v>66</v>
      </c>
      <c r="AU48" s="405">
        <v>45000</v>
      </c>
      <c r="AV48" s="400">
        <v>46827</v>
      </c>
      <c r="AW48" s="128">
        <v>45760</v>
      </c>
      <c r="AX48" s="128">
        <v>45760</v>
      </c>
      <c r="AY48" s="400" t="s">
        <v>92</v>
      </c>
      <c r="AZ48" s="128" t="s">
        <v>71</v>
      </c>
      <c r="BA48" s="400" t="s">
        <v>71</v>
      </c>
      <c r="BB48" s="127" t="s">
        <v>71</v>
      </c>
      <c r="BC48" s="400" t="s">
        <v>71</v>
      </c>
      <c r="BD48" s="400" t="s">
        <v>71</v>
      </c>
      <c r="BE48" s="400">
        <v>45502</v>
      </c>
      <c r="BF48" s="128">
        <v>45627</v>
      </c>
      <c r="BG48" s="400">
        <v>45992</v>
      </c>
      <c r="BH48" s="128" t="s">
        <v>71</v>
      </c>
      <c r="BI48" s="400" t="s">
        <v>71</v>
      </c>
      <c r="BJ48" s="406" t="s">
        <v>146</v>
      </c>
      <c r="BK48" s="407" t="s">
        <v>494</v>
      </c>
      <c r="BL48" s="406">
        <v>46069</v>
      </c>
      <c r="BM48" s="406" t="s">
        <v>146</v>
      </c>
      <c r="BN48" s="408"/>
      <c r="BO48" s="409"/>
      <c r="BP48" s="410"/>
      <c r="BQ48" s="81"/>
    </row>
    <row r="49" spans="1:68" ht="19.350000000000001" customHeight="1">
      <c r="A49" s="75" t="s">
        <v>146</v>
      </c>
      <c r="B49" s="75"/>
      <c r="C49" s="76"/>
      <c r="D49" s="76"/>
      <c r="E49" s="76"/>
      <c r="F49" s="75" t="s">
        <v>543</v>
      </c>
      <c r="G49" s="199" t="s">
        <v>70</v>
      </c>
      <c r="H49" s="77" t="s">
        <v>76</v>
      </c>
      <c r="I49" s="77" t="s">
        <v>63</v>
      </c>
      <c r="J49" s="77"/>
      <c r="K49" s="77"/>
      <c r="L49" s="76"/>
      <c r="M49" s="76"/>
      <c r="N49" s="76" t="s">
        <v>545</v>
      </c>
      <c r="O49" s="75" t="s">
        <v>547</v>
      </c>
      <c r="P49" s="75" t="s">
        <v>546</v>
      </c>
      <c r="Q49" s="76">
        <v>48391</v>
      </c>
      <c r="R49" s="76" t="s">
        <v>158</v>
      </c>
      <c r="S49" s="78" t="s">
        <v>159</v>
      </c>
      <c r="T49" s="75" t="s">
        <v>111</v>
      </c>
      <c r="U49" s="75" t="s">
        <v>549</v>
      </c>
      <c r="V49" s="75" t="s">
        <v>548</v>
      </c>
      <c r="W49" s="199">
        <v>21056</v>
      </c>
      <c r="X49" s="222" t="s">
        <v>549</v>
      </c>
      <c r="Y49" s="204" t="s">
        <v>545</v>
      </c>
      <c r="Z49" s="77"/>
      <c r="AA49" s="77" t="s">
        <v>69</v>
      </c>
      <c r="AB49" s="76"/>
      <c r="AC49" s="77"/>
      <c r="AD49" s="77"/>
      <c r="AE49" s="76">
        <v>46069</v>
      </c>
      <c r="AF49" s="76"/>
      <c r="AG49" s="76"/>
      <c r="AH49" s="77"/>
      <c r="AI49" s="77">
        <v>36</v>
      </c>
      <c r="AJ49" s="77"/>
      <c r="AK49" s="77" t="s">
        <v>81</v>
      </c>
      <c r="AL49" s="77"/>
      <c r="AM49" s="85"/>
      <c r="AN49" s="75" t="s">
        <v>68</v>
      </c>
      <c r="AO49" s="77" t="s">
        <v>66</v>
      </c>
      <c r="AP49" s="77"/>
      <c r="AQ49" s="77"/>
      <c r="AR49" s="75" t="s">
        <v>551</v>
      </c>
      <c r="AS49" s="288" t="s">
        <v>102</v>
      </c>
      <c r="AT49" s="77" t="s">
        <v>66</v>
      </c>
      <c r="AU49" s="110" t="s">
        <v>79</v>
      </c>
      <c r="AV49" s="78"/>
      <c r="AW49" s="76">
        <v>45980</v>
      </c>
      <c r="AX49" s="76">
        <v>45980</v>
      </c>
      <c r="AY49" s="78">
        <v>47806</v>
      </c>
      <c r="AZ49" s="76">
        <v>45980</v>
      </c>
      <c r="BA49" s="78">
        <v>47806</v>
      </c>
      <c r="BB49" s="77">
        <v>2026</v>
      </c>
      <c r="BC49" s="76" t="s">
        <v>79</v>
      </c>
      <c r="BD49" s="78"/>
      <c r="BE49" s="78" t="s">
        <v>71</v>
      </c>
      <c r="BF49" s="76" t="s">
        <v>71</v>
      </c>
      <c r="BG49" s="78" t="s">
        <v>71</v>
      </c>
      <c r="BH49" s="76" t="s">
        <v>71</v>
      </c>
      <c r="BI49" s="78" t="s">
        <v>71</v>
      </c>
      <c r="BJ49" s="317" t="s">
        <v>146</v>
      </c>
      <c r="BK49" s="312" t="s">
        <v>495</v>
      </c>
      <c r="BL49" s="317">
        <v>46069</v>
      </c>
      <c r="BM49" s="317" t="s">
        <v>146</v>
      </c>
      <c r="BN49" s="324"/>
      <c r="BO49" s="324"/>
      <c r="BP49" s="139"/>
    </row>
    <row r="50" spans="1:68" ht="19.350000000000001" customHeight="1" thickBot="1">
      <c r="A50" s="130" t="s">
        <v>146</v>
      </c>
      <c r="B50" s="130"/>
      <c r="C50" s="131"/>
      <c r="D50" s="132"/>
      <c r="E50" s="131"/>
      <c r="F50" s="130" t="s">
        <v>543</v>
      </c>
      <c r="G50" s="202" t="s">
        <v>78</v>
      </c>
      <c r="H50" s="131" t="s">
        <v>76</v>
      </c>
      <c r="I50" s="131" t="s">
        <v>63</v>
      </c>
      <c r="J50" s="131"/>
      <c r="K50" s="131"/>
      <c r="L50" s="132"/>
      <c r="M50" s="132"/>
      <c r="N50" s="76" t="s">
        <v>545</v>
      </c>
      <c r="O50" s="75" t="s">
        <v>547</v>
      </c>
      <c r="P50" s="75" t="s">
        <v>546</v>
      </c>
      <c r="Q50" s="132">
        <v>47331</v>
      </c>
      <c r="R50" s="132">
        <v>46447</v>
      </c>
      <c r="S50" s="133"/>
      <c r="T50" s="130" t="s">
        <v>77</v>
      </c>
      <c r="U50" s="75" t="s">
        <v>549</v>
      </c>
      <c r="V50" s="75" t="s">
        <v>548</v>
      </c>
      <c r="W50" s="202">
        <v>21020</v>
      </c>
      <c r="X50" s="222" t="s">
        <v>549</v>
      </c>
      <c r="Y50" s="204" t="s">
        <v>545</v>
      </c>
      <c r="Z50" s="132"/>
      <c r="AA50" s="131" t="s">
        <v>69</v>
      </c>
      <c r="AB50" s="132"/>
      <c r="AC50" s="131"/>
      <c r="AD50" s="131"/>
      <c r="AE50" s="132">
        <v>46042</v>
      </c>
      <c r="AF50" s="132">
        <v>46270</v>
      </c>
      <c r="AG50" s="132"/>
      <c r="AH50" s="131"/>
      <c r="AI50" s="131">
        <v>36</v>
      </c>
      <c r="AJ50" s="131"/>
      <c r="AK50" s="131" t="s">
        <v>67</v>
      </c>
      <c r="AL50" s="131">
        <v>3</v>
      </c>
      <c r="AM50" s="411"/>
      <c r="AN50" s="130" t="s">
        <v>68</v>
      </c>
      <c r="AO50" s="131" t="s">
        <v>69</v>
      </c>
      <c r="AP50" s="131"/>
      <c r="AQ50" s="131"/>
      <c r="AR50" s="75" t="s">
        <v>551</v>
      </c>
      <c r="AS50" s="273" t="s">
        <v>102</v>
      </c>
      <c r="AT50" s="131"/>
      <c r="AU50" s="140" t="s">
        <v>160</v>
      </c>
      <c r="AV50" s="133"/>
      <c r="AW50" s="132" t="s">
        <v>141</v>
      </c>
      <c r="AX50" s="132" t="s">
        <v>141</v>
      </c>
      <c r="AY50" s="133"/>
      <c r="AZ50" s="132" t="s">
        <v>71</v>
      </c>
      <c r="BA50" s="133" t="s">
        <v>71</v>
      </c>
      <c r="BB50" s="131" t="s">
        <v>71</v>
      </c>
      <c r="BC50" s="133" t="s">
        <v>71</v>
      </c>
      <c r="BD50" s="133" t="s">
        <v>71</v>
      </c>
      <c r="BE50" s="133" t="s">
        <v>71</v>
      </c>
      <c r="BF50" s="132" t="s">
        <v>71</v>
      </c>
      <c r="BG50" s="133" t="s">
        <v>71</v>
      </c>
      <c r="BH50" s="132" t="s">
        <v>71</v>
      </c>
      <c r="BI50" s="133" t="s">
        <v>71</v>
      </c>
      <c r="BJ50" s="322" t="s">
        <v>146</v>
      </c>
      <c r="BK50" s="314" t="s">
        <v>496</v>
      </c>
      <c r="BL50" s="322">
        <v>46069</v>
      </c>
      <c r="BM50" s="322" t="s">
        <v>146</v>
      </c>
      <c r="BN50" s="327"/>
      <c r="BO50" s="318"/>
      <c r="BP50" s="135"/>
    </row>
  </sheetData>
  <autoFilter ref="A2:BP50" xr:uid="{00000000-0001-0000-0000-000000000000}">
    <filterColumn colId="7">
      <customFilters>
        <customFilter operator="notEqual" val=" "/>
      </customFilters>
    </filterColumn>
  </autoFilter>
  <sortState xmlns:xlrd2="http://schemas.microsoft.com/office/spreadsheetml/2017/richdata2" ref="A2:BP50">
    <sortCondition ref="A15:A50"/>
  </sortState>
  <mergeCells count="54">
    <mergeCell ref="A1:A2"/>
    <mergeCell ref="F1:F2"/>
    <mergeCell ref="H1:H2"/>
    <mergeCell ref="I1:I2"/>
    <mergeCell ref="P1:P2"/>
    <mergeCell ref="O1:O2"/>
    <mergeCell ref="N1:N2"/>
    <mergeCell ref="M1:M2"/>
    <mergeCell ref="L1:L2"/>
    <mergeCell ref="K1:K2"/>
    <mergeCell ref="J1:J2"/>
    <mergeCell ref="E1:E2"/>
    <mergeCell ref="AB1:AB2"/>
    <mergeCell ref="AA1:AA2"/>
    <mergeCell ref="Z1:Z2"/>
    <mergeCell ref="B1:D1"/>
    <mergeCell ref="R1:R2"/>
    <mergeCell ref="Q1:Q2"/>
    <mergeCell ref="U1:U2"/>
    <mergeCell ref="T1:T2"/>
    <mergeCell ref="S1:S2"/>
    <mergeCell ref="V1:V2"/>
    <mergeCell ref="X1:X2"/>
    <mergeCell ref="W1:W2"/>
    <mergeCell ref="G1:G2"/>
    <mergeCell ref="Y1:Y2"/>
    <mergeCell ref="BB1:BB2"/>
    <mergeCell ref="AU1:AV1"/>
    <mergeCell ref="BH1:BI1"/>
    <mergeCell ref="BC1:BD1"/>
    <mergeCell ref="AX1:AY1"/>
    <mergeCell ref="AZ1:BA1"/>
    <mergeCell ref="BE1:BG1"/>
    <mergeCell ref="AC1:AC2"/>
    <mergeCell ref="AE1:AE2"/>
    <mergeCell ref="AD1:AD2"/>
    <mergeCell ref="AG1:AG2"/>
    <mergeCell ref="AF1:AF2"/>
    <mergeCell ref="AQ1:AQ2"/>
    <mergeCell ref="AH1:AH2"/>
    <mergeCell ref="AI1:AI2"/>
    <mergeCell ref="BP1:BP2"/>
    <mergeCell ref="AR1:AR2"/>
    <mergeCell ref="AS1:AS2"/>
    <mergeCell ref="AT1:AT2"/>
    <mergeCell ref="BJ1:BL1"/>
    <mergeCell ref="BM1:BO1"/>
    <mergeCell ref="AM1:AM2"/>
    <mergeCell ref="AN1:AN2"/>
    <mergeCell ref="AO1:AO2"/>
    <mergeCell ref="AP1:AP2"/>
    <mergeCell ref="AJ1:AJ2"/>
    <mergeCell ref="AK1:AK2"/>
    <mergeCell ref="AL1:AL2"/>
  </mergeCells>
  <phoneticPr fontId="2" type="noConversion"/>
  <conditionalFormatting sqref="A1:B1 F1:AU1 AX1 AZ1 BB1:BC1 BE1 BH1 BP1 BQ126:XFD126">
    <cfRule type="expression" dxfId="121" priority="685">
      <formula>#REF!="N.A."</formula>
    </cfRule>
  </conditionalFormatting>
  <conditionalFormatting sqref="BB3:BF6 AH3:AH8 AT3:AT10 E11:M11 H17:M19 AW3:AX19 AZ3:AZ21 BB7:BC21 BE8:BF21 AX20:AX21 AH11:AQ22 E17:E22 AW20:AW22 AW23:AX27 AZ23:AZ27 BB23:BC27 BE23:BF27 BE29:BF29 AZ29 BB29:BC29 AX29 AX31 S8:T31 AW28:AW31 AU3:AV31 AF3:AG46 AH34:AT34 S47:T47 H34:P34 A3:C50 AZ31:AZ50 BB31:BC50 AU32:AX50 BE31:BF50 S49:T50 G8:G50 G57:G1048576 Z49:AQ50 BP3:XFD50 AI52:BA1048576 BC52:XFD1048576 A52:E1048576 F52:AH66 E24:E33 G20:M21 E12:E14 G12:M14 F12:F33 G49:M50 E34:F50 E3:P6 E7:M8 H24:M33 N7:P33 H35:M48 N35:P50 W8:W31 U7:V33 W49:W50 W47 U35:V50 S3:AE6 Z8:AE31 X7:Y33 Z47:AQ47 X35:Y50 AI3:AS6 AI7:AQ7 AS7 AH24:AQ33 AS24:AT33 AS11:AT22 AR7:AR33 AS47:AT47 AS49:AT50 AH35:AQ44 AS35:AT44 AR35:AR50">
    <cfRule type="containsBlanks" dxfId="120" priority="84">
      <formula>LEN(TRIM(A3))=0</formula>
    </cfRule>
  </conditionalFormatting>
  <conditionalFormatting sqref="A20:A21 C20:C21 E3:F6 BD3:BF6 BQ2:XFD2 AH7:AQ7 AT7:AT8 E7:M8 H9:M11 A3:D11 AY5:AY10 A12:C19 H14:M20 AH9:AQ22 H22:M22 AT23 AY14:AY23 BP3:XFD24 BE29:BF29 AY29 AY25:AY27 BE8:BF27 S14:T31 AY31:AY38 D12:D41 A22:C41 AH34:AT34 AY40:AY44 S47:T47 AF3:AG47 H34:P34 AY46:AY47 Q7:R50 AU7:AX50 AZ3:BC50 A42:D50 BE31:BF50 BP25:BP50 S49:T50 AY49:AY50 G3:G50 G57:G1048399 AI52:BA1048576 A52:E1048576 BC52:BP1048576 F747:AH1048576 F52:AH66 G23:M23 G21:M21 G12:M13 G49:M50 E9:F50 H24:M33 N7:P33 H35:M48 N35:P50 S7:T12 W7:W12 W14:W31 U7:V33 W49:W50 W47 U35:V50 H3:AE6 Z14:AE31 Z7:AE12 X7:Y33 Z47:AQ47 Z49:AQ50 X35:Y50 AH3:AX6 AH24:AQ33 AS24:AT33 AS9:AT22 AS7 AR7:AR33 AS49:AT50 AS47:AT47 AH35:AQ44 AS35:AT44 AR35:AR50">
    <cfRule type="expression" dxfId="119" priority="87">
      <formula>$H2="N.A."</formula>
    </cfRule>
  </conditionalFormatting>
  <conditionalFormatting sqref="B20 BQ25:XFD25 BQ28:XFD28 BQ30:XFD30 BQ1048400:XFD1048530 BQ43:XFD43 BQ32:XFD41 BQ47:XFD47 BQ49:XFD50 BQ56:XFD56">
    <cfRule type="expression" dxfId="118" priority="25">
      <formula>#REF!="N.A."</formula>
    </cfRule>
  </conditionalFormatting>
  <conditionalFormatting sqref="X68:X126 X128:X746 B21">
    <cfRule type="expression" dxfId="117" priority="288">
      <formula>$H20="N.A."</formula>
    </cfRule>
  </conditionalFormatting>
  <conditionalFormatting sqref="BQ26:XFD26 BQ29:XFD29 BQ32:XFD32 BQ42:XFD42 BQ44:XFD45">
    <cfRule type="expression" dxfId="116" priority="630">
      <formula>$H27="N.A."</formula>
    </cfRule>
  </conditionalFormatting>
  <conditionalFormatting sqref="BQ46:XFD46">
    <cfRule type="expression" dxfId="115" priority="860">
      <formula>#REF!="N.A."</formula>
    </cfRule>
  </conditionalFormatting>
  <conditionalFormatting sqref="BD3:BD6 AY37:AY38 AF3:AG47 Q3:R50 D3:D50">
    <cfRule type="containsText" dxfId="114" priority="180" operator="containsText" text="X">
      <formula>NOT(ISERROR(SEARCH("X",D3)))</formula>
    </cfRule>
    <cfRule type="containsText" dxfId="113" priority="181" operator="containsText" text="PROGRAMMATO">
      <formula>NOT(ISERROR(SEARCH("PROGRAMMATO",D3)))</formula>
    </cfRule>
    <cfRule type="cellIs" dxfId="112" priority="182" operator="greaterThanOrEqual">
      <formula>$BQ$2</formula>
    </cfRule>
    <cfRule type="cellIs" dxfId="111" priority="183" operator="lessThanOrEqual">
      <formula>$BQ$2</formula>
    </cfRule>
  </conditionalFormatting>
  <conditionalFormatting sqref="AY37:AY38 AF3:AG47 D3:D50 Q3:R50">
    <cfRule type="containsBlanks" dxfId="110" priority="178" stopIfTrue="1">
      <formula>LEN(TRIM(D3))=0</formula>
    </cfRule>
  </conditionalFormatting>
  <conditionalFormatting sqref="M22 AY7:AY10 AY14:AY23 AY25:AY27 AY29 AY31:AY36 AY40:AY44 AY46:AY47 AF50:AG50 AY49:AY50">
    <cfRule type="containsBlanks" dxfId="109" priority="154" stopIfTrue="1">
      <formula>LEN(TRIM(M7))=0</formula>
    </cfRule>
    <cfRule type="containsText" dxfId="108" priority="156" operator="containsText" text="X">
      <formula>NOT(ISERROR(SEARCH("X",M7)))</formula>
    </cfRule>
    <cfRule type="containsText" dxfId="107" priority="157" operator="containsText" text="PROGRAMMATO">
      <formula>NOT(ISERROR(SEARCH("PROGRAMMATO",M7)))</formula>
    </cfRule>
    <cfRule type="cellIs" dxfId="106" priority="158" operator="greaterThanOrEqual">
      <formula>$BQ$2</formula>
    </cfRule>
    <cfRule type="cellIs" dxfId="105" priority="159" operator="lessThanOrEqual">
      <formula>$BQ$2</formula>
    </cfRule>
  </conditionalFormatting>
  <conditionalFormatting sqref="S45:T45 W45">
    <cfRule type="expression" dxfId="104" priority="78">
      <formula>$H45="N.A."</formula>
    </cfRule>
  </conditionalFormatting>
  <conditionalFormatting sqref="S45:T45 W45">
    <cfRule type="containsBlanks" dxfId="103" priority="57">
      <formula>LEN(TRIM(S45))=0</formula>
    </cfRule>
  </conditionalFormatting>
  <conditionalFormatting sqref="BE7:BF7 S34:AE34 BG3:BI50 S32:T33 W32:W33 S35:T44 W35:W44 Z32:AE33 Z35:AE44">
    <cfRule type="containsBlanks" dxfId="102" priority="51">
      <formula>LEN(TRIM(S3))=0</formula>
    </cfRule>
    <cfRule type="expression" dxfId="101" priority="53">
      <formula>$H3="N.A."</formula>
    </cfRule>
  </conditionalFormatting>
  <conditionalFormatting sqref="X127">
    <cfRule type="expression" dxfId="100" priority="695">
      <formula>#REF!="N.A."</formula>
    </cfRule>
  </conditionalFormatting>
  <conditionalFormatting sqref="S46:T46 AU2 AZ2 BC2 BH2 AH8:AQ8 AS8 S13:T13 Z13:AE13 AH23:AQ23 BE28 BE30 S48:T48 F67:W746 Y67:AH746 W13 W48 W46 Z45:AQ46 Z48:AQ48 AS23 AS48:AT48 AS45:AT46">
    <cfRule type="expression" dxfId="99" priority="385">
      <formula>$H2="N.A."</formula>
    </cfRule>
  </conditionalFormatting>
  <conditionalFormatting sqref="S46:T46 F1:AU1 H22:L22 AT23 E23 S48:T48 G23:M23 W48 W46 Z45:AQ46 Z48:AQ48 AS48:AT48 AS45:AT46">
    <cfRule type="containsBlanks" dxfId="98" priority="303">
      <formula>LEN(TRIM(E1))=0</formula>
    </cfRule>
  </conditionalFormatting>
  <conditionalFormatting sqref="Z21">
    <cfRule type="containsBlanks" dxfId="97" priority="23">
      <formula>LEN(TRIM(Z21))=0</formula>
    </cfRule>
  </conditionalFormatting>
  <conditionalFormatting sqref="AU47">
    <cfRule type="containsBlanks" dxfId="96" priority="66">
      <formula>LEN(TRIM(AU47))=0</formula>
    </cfRule>
  </conditionalFormatting>
  <conditionalFormatting sqref="E9:E10 G9:M10">
    <cfRule type="containsBlanks" dxfId="95" priority="107">
      <formula>LEN(TRIM(E9))=0</formula>
    </cfRule>
  </conditionalFormatting>
  <conditionalFormatting sqref="M1 Q1:S1 AF1:AG1 M3:M14 M16:M21 BE3:BE50 S3:S50 AF3:AG50 M23:M50 AV52:AW1048576 AY52:AY1048576 BA52:BA1048576 BD52:BE1048576 BI52:BO1048576 AF52:AG1048576 M52:M1048576 Q52:S1048576">
    <cfRule type="cellIs" dxfId="94" priority="432" operator="lessThanOrEqual">
      <formula>#REF!</formula>
    </cfRule>
  </conditionalFormatting>
  <conditionalFormatting sqref="AW35">
    <cfRule type="expression" dxfId="93" priority="191">
      <formula>$H35="N.A."</formula>
    </cfRule>
  </conditionalFormatting>
  <conditionalFormatting sqref="AW21:AX21">
    <cfRule type="containsBlanks" dxfId="92" priority="22">
      <formula>LEN(TRIM(AW21))=0</formula>
    </cfRule>
  </conditionalFormatting>
  <conditionalFormatting sqref="AX1:AX2 BF3:BF27 BF29 BF31:BF50 BH1:BH50 AW3:AX50 AZ1:AZ50 BC1:BC50 AU1:AU50 BF52:BH1048576 AX52:AX1048576 AZ52:AZ1048576 BC52:BC1048576 AU52:AU1048576">
    <cfRule type="containsText" dxfId="91" priority="378" operator="containsText" text="IN CORSO">
      <formula>NOT(ISERROR(SEARCH("IN CORSO",AU1)))</formula>
    </cfRule>
  </conditionalFormatting>
  <conditionalFormatting sqref="AX2">
    <cfRule type="expression" dxfId="90" priority="296">
      <formula>$H2="N.A."</formula>
    </cfRule>
  </conditionalFormatting>
  <conditionalFormatting sqref="AX28 AZ28 BB28:BC28 AX30 AZ30 BB30:BC30 AI8:AQ8 AS8 BE28 BE30">
    <cfRule type="containsBlanks" dxfId="89" priority="380">
      <formula>LEN(TRIM(AI8))=0</formula>
    </cfRule>
  </conditionalFormatting>
  <conditionalFormatting sqref="AX12">
    <cfRule type="containsBlanks" dxfId="88" priority="301">
      <formula>LEN(TRIM(AX12))=0</formula>
    </cfRule>
  </conditionalFormatting>
  <conditionalFormatting sqref="AX49">
    <cfRule type="containsBlanks" dxfId="87" priority="295">
      <formula>LEN(TRIM(AX49))=0</formula>
    </cfRule>
  </conditionalFormatting>
  <conditionalFormatting sqref="AY3 AY11:AY12">
    <cfRule type="containsBlanks" dxfId="86" priority="219" stopIfTrue="1">
      <formula>LEN(TRIM(AY3))=0</formula>
    </cfRule>
    <cfRule type="expression" dxfId="85" priority="220">
      <formula>$H3="N.A."</formula>
    </cfRule>
    <cfRule type="containsText" dxfId="84" priority="221" operator="containsText" text="X">
      <formula>NOT(ISERROR(SEARCH("X",AY3)))</formula>
    </cfRule>
    <cfRule type="containsText" dxfId="83" priority="222" operator="containsText" text="PROGRAMMATO">
      <formula>NOT(ISERROR(SEARCH("PROGRAMMATO",AY3)))</formula>
    </cfRule>
    <cfRule type="cellIs" dxfId="82" priority="223" operator="greaterThanOrEqual">
      <formula>$BQ$2</formula>
    </cfRule>
    <cfRule type="cellIs" dxfId="81" priority="224" operator="lessThanOrEqual">
      <formula>$BQ$2</formula>
    </cfRule>
  </conditionalFormatting>
  <conditionalFormatting sqref="AY5:AY6">
    <cfRule type="containsBlanks" dxfId="80" priority="172" stopIfTrue="1">
      <formula>LEN(TRIM(AY5))=0</formula>
    </cfRule>
    <cfRule type="containsText" dxfId="79" priority="174" operator="containsText" text="X">
      <formula>NOT(ISERROR(SEARCH("X",AY5)))</formula>
    </cfRule>
    <cfRule type="containsText" dxfId="78" priority="175" operator="containsText" text="PROGRAMMATO">
      <formula>NOT(ISERROR(SEARCH("PROGRAMMATO",AY5)))</formula>
    </cfRule>
    <cfRule type="cellIs" dxfId="77" priority="176" operator="greaterThanOrEqual">
      <formula>$BQ$2</formula>
    </cfRule>
    <cfRule type="cellIs" dxfId="76" priority="177" operator="lessThanOrEqual">
      <formula>$BQ$2</formula>
    </cfRule>
  </conditionalFormatting>
  <conditionalFormatting sqref="M15">
    <cfRule type="containsBlanks" dxfId="75" priority="160" stopIfTrue="1">
      <formula>LEN(TRIM(M15))=0</formula>
    </cfRule>
    <cfRule type="containsText" dxfId="74" priority="162" operator="containsText" text="X">
      <formula>NOT(ISERROR(SEARCH("X",M15)))</formula>
    </cfRule>
    <cfRule type="containsText" dxfId="73" priority="163" operator="containsText" text="PROGRAMMATO">
      <formula>NOT(ISERROR(SEARCH("PROGRAMMATO",M15)))</formula>
    </cfRule>
    <cfRule type="cellIs" dxfId="72" priority="164" operator="greaterThanOrEqual">
      <formula>$BQ$2</formula>
    </cfRule>
    <cfRule type="cellIs" dxfId="71" priority="165" operator="lessThanOrEqual">
      <formula>$BQ$2</formula>
    </cfRule>
  </conditionalFormatting>
  <conditionalFormatting sqref="BA3:BA50">
    <cfRule type="containsBlanks" dxfId="70" priority="225">
      <formula>LEN(TRIM(BA3))=0</formula>
    </cfRule>
    <cfRule type="containsText" dxfId="69" priority="227" operator="containsText" text="X">
      <formula>NOT(ISERROR(SEARCH("X",BA3)))</formula>
    </cfRule>
    <cfRule type="containsText" dxfId="68" priority="228" operator="containsText" text="PROGRAMMATO">
      <formula>NOT(ISERROR(SEARCH("PROGRAMMATO",BA3)))</formula>
    </cfRule>
    <cfRule type="cellIs" dxfId="67" priority="229" operator="greaterThanOrEqual">
      <formula>$BQ$2</formula>
    </cfRule>
    <cfRule type="cellIs" dxfId="66" priority="230" operator="lessThanOrEqual">
      <formula>$BQ$2</formula>
    </cfRule>
  </conditionalFormatting>
  <conditionalFormatting sqref="BB1">
    <cfRule type="containsText" dxfId="65" priority="386" operator="containsText" text="IN CORSO">
      <formula>NOT(ISERROR(SEARCH("IN CORSO",BB1)))</formula>
    </cfRule>
  </conditionalFormatting>
  <conditionalFormatting sqref="BB1:BC1 BE28 BE30 AU1:AU2 AX1:AX2 BH1:BH2 BP1 BE1 BE3:BF27 BE29:BF29 BE31:BF50 AU3:AX50 AZ1:AZ50 BC2:BC50 BP3:BP50 BG3:BI50 AU52:BA1048576 BC52:BP1048576">
    <cfRule type="containsText" dxfId="64" priority="388" operator="containsText" text="X">
      <formula>NOT(ISERROR(SEARCH("X",AU1)))</formula>
    </cfRule>
  </conditionalFormatting>
  <conditionalFormatting sqref="BB1:BC1 BE1 BP1 AX1:AX2 BE28 BE30 BE3:BF27 BE29:BF29 BE31:BF50 AU1:AU50 AW3:AX50 AZ1:AZ50 BC2:BC50 BH1:BH50 BP3:BP50 AU52:BA1048576 BC52:BP1048576">
    <cfRule type="containsText" dxfId="63" priority="389" operator="containsText" text="PROGRAMMATO">
      <formula>NOT(ISERROR(SEARCH("PROGRAMMATO",AU1)))</formula>
    </cfRule>
  </conditionalFormatting>
  <conditionalFormatting sqref="BC47">
    <cfRule type="containsBlanks" dxfId="62" priority="115">
      <formula>LEN(TRIM(BC47))=0</formula>
    </cfRule>
  </conditionalFormatting>
  <conditionalFormatting sqref="BC49">
    <cfRule type="containsBlanks" dxfId="61" priority="291">
      <formula>LEN(TRIM(BC49))=0</formula>
    </cfRule>
  </conditionalFormatting>
  <conditionalFormatting sqref="BD7:BD50">
    <cfRule type="containsBlanks" dxfId="60" priority="198">
      <formula>LEN(TRIM(BD7))=0</formula>
    </cfRule>
    <cfRule type="expression" dxfId="59" priority="199">
      <formula>$H7="N.A."</formula>
    </cfRule>
    <cfRule type="containsText" dxfId="58" priority="200" operator="containsText" text="X">
      <formula>NOT(ISERROR(SEARCH("X",BD7)))</formula>
    </cfRule>
    <cfRule type="containsText" dxfId="57" priority="201" operator="containsText" text="PROGRAMMATO">
      <formula>NOT(ISERROR(SEARCH("PROGRAMMATO",BD7)))</formula>
    </cfRule>
    <cfRule type="cellIs" dxfId="56" priority="202" operator="greaterThanOrEqual">
      <formula>$BQ$2</formula>
    </cfRule>
    <cfRule type="cellIs" dxfId="55" priority="203" operator="lessThanOrEqual">
      <formula>$BQ$2</formula>
    </cfRule>
  </conditionalFormatting>
  <conditionalFormatting sqref="BE1 AU2 BC2 Z7:AE7">
    <cfRule type="containsBlanks" dxfId="54" priority="391">
      <formula>LEN(TRIM(Z1))=0</formula>
    </cfRule>
  </conditionalFormatting>
  <conditionalFormatting sqref="BE1">
    <cfRule type="containsText" dxfId="53" priority="390" operator="containsText" text="IN CORSO">
      <formula>NOT(ISERROR(SEARCH("IN CORSO",BE1)))</formula>
    </cfRule>
  </conditionalFormatting>
  <conditionalFormatting sqref="BE3:BE50 AV52:AW1048576 AY52:AY1048576 BA52:BA1048576 BD52:BE1048576 BI52:BO1048576">
    <cfRule type="cellIs" dxfId="52" priority="429" operator="greaterThanOrEqual">
      <formula>#REF!</formula>
    </cfRule>
  </conditionalFormatting>
  <conditionalFormatting sqref="BE36">
    <cfRule type="expression" dxfId="51" priority="184">
      <formula>$H36="N.A."</formula>
    </cfRule>
    <cfRule type="containsText" dxfId="50" priority="185" operator="containsText" text="IN CORSO">
      <formula>NOT(ISERROR(SEARCH("IN CORSO",BE36)))</formula>
    </cfRule>
  </conditionalFormatting>
  <conditionalFormatting sqref="A1:B1 BB1:BC1 AX1:AX2 AZ1:AZ2 BH1:BH2 S7:T7 AH9:AQ10 E15:E16 AX22 AZ22 BB22:BC22 BE22:BF22 AH23:AQ23 F67:W746 Y67:AH746 X68:X1048576 F747:AH1048576 G16:M16 G15:L15 W7 AS23 AS9:AS10">
    <cfRule type="containsBlanks" dxfId="49" priority="304">
      <formula>LEN(TRIM(A1))=0</formula>
    </cfRule>
  </conditionalFormatting>
  <conditionalFormatting sqref="BE36:BF36">
    <cfRule type="containsText" dxfId="48" priority="195" operator="containsText" text="IN CORSO">
      <formula>NOT(ISERROR(SEARCH("IN CORSO",BE36)))</formula>
    </cfRule>
  </conditionalFormatting>
  <conditionalFormatting sqref="BF13">
    <cfRule type="containsText" dxfId="47" priority="302" operator="containsText" text="IN CORSO">
      <formula>NOT(ISERROR(SEARCH("IN CORSO",BF13)))</formula>
    </cfRule>
  </conditionalFormatting>
  <conditionalFormatting sqref="BF36">
    <cfRule type="cellIs" dxfId="46" priority="186" operator="greaterThanOrEqual">
      <formula>#REF!</formula>
    </cfRule>
    <cfRule type="cellIs" dxfId="45" priority="187" operator="lessThanOrEqual">
      <formula>#REF!</formula>
    </cfRule>
  </conditionalFormatting>
  <conditionalFormatting sqref="AX19">
    <cfRule type="containsBlanks" dxfId="44" priority="305">
      <formula>LEN(TRIM(AX19))=0</formula>
    </cfRule>
  </conditionalFormatting>
  <conditionalFormatting sqref="AV3:AV50 BG3:BG50 BI3:BI50">
    <cfRule type="containsText" dxfId="43" priority="216" operator="containsText" text="PROGRAMMATO">
      <formula>NOT(ISERROR(SEARCH("PROGRAMMATO",AV3)))</formula>
    </cfRule>
    <cfRule type="cellIs" dxfId="42" priority="217" operator="greaterThanOrEqual">
      <formula>$BQ$2</formula>
    </cfRule>
    <cfRule type="cellIs" dxfId="41" priority="218" operator="lessThanOrEqual">
      <formula>$BQ$2</formula>
    </cfRule>
  </conditionalFormatting>
  <conditionalFormatting sqref="BP1:BQ1">
    <cfRule type="containsBlanks" dxfId="40" priority="237">
      <formula>LEN(TRIM(BP1))=0</formula>
    </cfRule>
  </conditionalFormatting>
  <conditionalFormatting sqref="BQ1">
    <cfRule type="expression" dxfId="39" priority="238">
      <formula>$H1="N.A."</formula>
    </cfRule>
  </conditionalFormatting>
  <conditionalFormatting sqref="BQ2:XFD2">
    <cfRule type="containsBlanks" dxfId="38" priority="289">
      <formula>LEN(TRIM(BQ2))=0</formula>
    </cfRule>
  </conditionalFormatting>
  <conditionalFormatting sqref="BQ27:XFD27">
    <cfRule type="expression" dxfId="37" priority="949">
      <formula>#REF!="N.A."</formula>
    </cfRule>
  </conditionalFormatting>
  <conditionalFormatting sqref="BQ31:XFD31">
    <cfRule type="expression" dxfId="36" priority="1809">
      <formula>#REF!="N.A."</formula>
    </cfRule>
  </conditionalFormatting>
  <conditionalFormatting sqref="BQ48:XFD48">
    <cfRule type="expression" dxfId="35" priority="1620">
      <formula>#REF!="N.A."</formula>
    </cfRule>
  </conditionalFormatting>
  <conditionalFormatting sqref="BQ127:XFD1048223 BQ57:XFD125 BQ52:XFD55">
    <cfRule type="expression" dxfId="34" priority="463">
      <formula>$C53="N.A."</formula>
    </cfRule>
  </conditionalFormatting>
  <conditionalFormatting sqref="BQ1048531:XFD1048576">
    <cfRule type="expression" dxfId="33" priority="1827">
      <formula>$C134="N.A."</formula>
    </cfRule>
  </conditionalFormatting>
  <conditionalFormatting sqref="F5">
    <cfRule type="containsBlanks" dxfId="32" priority="9">
      <formula>LEN(TRIM(F5))=0</formula>
    </cfRule>
  </conditionalFormatting>
  <conditionalFormatting sqref="F7">
    <cfRule type="containsBlanks" dxfId="31" priority="8">
      <formula>LEN(TRIM(F7))=0</formula>
    </cfRule>
  </conditionalFormatting>
  <conditionalFormatting sqref="F9:F10">
    <cfRule type="containsBlanks" dxfId="30" priority="5">
      <formula>LEN(TRIM(F9))=0</formula>
    </cfRule>
  </conditionalFormatting>
  <conditionalFormatting sqref="F9:F10">
    <cfRule type="containsBlanks" dxfId="29" priority="4">
      <formula>LEN(TRIM(F9))=0</formula>
    </cfRule>
  </conditionalFormatting>
  <conditionalFormatting sqref="F11">
    <cfRule type="containsBlanks" dxfId="28" priority="3">
      <formula>LEN(TRIM(F11))=0</formula>
    </cfRule>
  </conditionalFormatting>
  <conditionalFormatting sqref="F11">
    <cfRule type="containsBlanks" dxfId="27" priority="2">
      <formula>LEN(TRIM(F11))=0</formula>
    </cfRule>
  </conditionalFormatting>
  <conditionalFormatting sqref="F8">
    <cfRule type="containsBlanks" dxfId="26" priority="1">
      <formula>LEN(TRIM(F8))=0</formula>
    </cfRule>
  </conditionalFormatting>
  <conditionalFormatting sqref="BQ1048224:XFD1048399">
    <cfRule type="expression" dxfId="25" priority="12423">
      <formula>$C1="N.A."</formula>
    </cfRule>
  </conditionalFormatting>
  <pageMargins left="0.70866141732283472" right="0.70866141732283472" top="0.74803149606299213" bottom="0.74803149606299213" header="0" footer="0"/>
  <pageSetup paperSize="9" scale="15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3D02EFF-037B-42E1-B4D3-7F685492A79A}">
          <x14:formula1>
            <xm:f>#REF!</xm:f>
          </x14:formula1>
          <xm:sqref>AK1 AK3:AK50</xm:sqref>
        </x14:dataValidation>
        <x14:dataValidation type="list" allowBlank="1" showInputMessage="1" showErrorMessage="1" xr:uid="{6D65BAF8-04C9-4EA9-9B36-C9A07FC2288A}">
          <x14:formula1>
            <xm:f>#REF!</xm:f>
          </x14:formula1>
          <xm:sqref>AN1 AN3:AN50</xm:sqref>
        </x14:dataValidation>
        <x14:dataValidation type="list" allowBlank="1" showInputMessage="1" showErrorMessage="1" xr:uid="{D11CF3F2-EC24-4E50-8A0D-8ECACAB39366}">
          <x14:formula1>
            <xm:f>#REF!</xm:f>
          </x14:formula1>
          <xm:sqref>C3:E3 B4:B17 C18:E18 B19:B30 C31:E31 B33:B46 C47:E47 B48:B50 A3:A50</xm:sqref>
        </x14:dataValidation>
        <x14:dataValidation type="list" allowBlank="1" showInputMessage="1" showErrorMessage="1" xr:uid="{A9CC54FD-B202-4E47-A4F5-DD1C03BC2770}">
          <x14:formula1>
            <xm:f>#REF!</xm:f>
          </x14:formula1>
          <xm:sqref>AC1 AC3:AC50 AC52:AC1048576</xm:sqref>
        </x14:dataValidation>
        <x14:dataValidation type="list" allowBlank="1" showInputMessage="1" showErrorMessage="1" xr:uid="{232FEC94-DA0A-4910-87EA-1E6E22A8542F}">
          <x14:formula1>
            <xm:f>#REF!</xm:f>
          </x14:formula1>
          <xm:sqref>H3:H50 H52:H1048576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98D29-E934-4479-AE53-7A212B14D6E5}">
  <sheetPr>
    <pageSetUpPr fitToPage="1"/>
  </sheetPr>
  <dimension ref="A1:N310"/>
  <sheetViews>
    <sheetView zoomScale="90" zoomScaleNormal="90" workbookViewId="0">
      <pane ySplit="2" topLeftCell="A79" activePane="bottomLeft" state="frozen"/>
      <selection pane="bottomLeft" activeCell="D97" sqref="D97"/>
    </sheetView>
  </sheetViews>
  <sheetFormatPr defaultColWidth="8.8984375" defaultRowHeight="13.8"/>
  <cols>
    <col min="1" max="1" width="10.09765625" style="6" bestFit="1" customWidth="1"/>
    <col min="2" max="2" width="19.3984375" style="6" bestFit="1" customWidth="1"/>
    <col min="3" max="3" width="12.59765625" style="27" bestFit="1" customWidth="1"/>
    <col min="4" max="4" width="17.09765625" style="6" bestFit="1" customWidth="1"/>
    <col min="5" max="6" width="13.09765625" style="6" customWidth="1"/>
    <col min="7" max="7" width="17.09765625" style="6" customWidth="1"/>
    <col min="8" max="8" width="13.59765625" style="27" customWidth="1"/>
    <col min="9" max="9" width="12.59765625" style="27" customWidth="1"/>
    <col min="10" max="10" width="18.09765625" style="6" bestFit="1" customWidth="1"/>
    <col min="11" max="11" width="15.296875" style="6" bestFit="1" customWidth="1"/>
    <col min="12" max="16384" width="8.8984375" style="6"/>
  </cols>
  <sheetData>
    <row r="1" spans="1:12" ht="37.200000000000003" customHeight="1" thickBot="1">
      <c r="A1" s="354" t="s">
        <v>448</v>
      </c>
      <c r="B1" s="355"/>
      <c r="C1" s="355"/>
      <c r="D1" s="355"/>
      <c r="E1" s="355"/>
      <c r="F1" s="355"/>
      <c r="G1" s="355"/>
      <c r="H1" s="355"/>
      <c r="I1" s="355"/>
      <c r="J1" s="355"/>
      <c r="K1" s="356"/>
    </row>
    <row r="2" spans="1:12" s="35" customFormat="1" ht="40.200000000000003" customHeight="1" thickBot="1">
      <c r="A2" s="257" t="s">
        <v>161</v>
      </c>
      <c r="B2" s="258" t="s">
        <v>162</v>
      </c>
      <c r="C2" s="258" t="s">
        <v>53</v>
      </c>
      <c r="D2" s="258" t="s">
        <v>163</v>
      </c>
      <c r="E2" s="258" t="s">
        <v>164</v>
      </c>
      <c r="F2" s="258" t="s">
        <v>165</v>
      </c>
      <c r="G2" s="258" t="s">
        <v>166</v>
      </c>
      <c r="H2" s="258" t="s">
        <v>167</v>
      </c>
      <c r="I2" s="258" t="s">
        <v>168</v>
      </c>
      <c r="J2" s="259" t="s">
        <v>446</v>
      </c>
      <c r="K2" s="260" t="s">
        <v>447</v>
      </c>
      <c r="L2" s="256"/>
    </row>
    <row r="3" spans="1:12" hidden="1">
      <c r="A3" s="28">
        <v>45809</v>
      </c>
      <c r="B3" s="29" t="s">
        <v>169</v>
      </c>
      <c r="C3" s="33" t="s">
        <v>137</v>
      </c>
      <c r="D3" s="30" t="s">
        <v>170</v>
      </c>
      <c r="E3" s="5">
        <v>60</v>
      </c>
      <c r="F3" s="5">
        <f>E3+((E3*22)/100)</f>
        <v>73.2</v>
      </c>
      <c r="G3" s="5"/>
      <c r="H3" s="31" t="s">
        <v>66</v>
      </c>
      <c r="I3" s="31" t="s">
        <v>66</v>
      </c>
      <c r="J3" s="190"/>
      <c r="K3" s="190"/>
    </row>
    <row r="4" spans="1:12" hidden="1">
      <c r="A4" s="2">
        <v>45809</v>
      </c>
      <c r="B4" s="3" t="s">
        <v>171</v>
      </c>
      <c r="C4" s="32" t="s">
        <v>137</v>
      </c>
      <c r="D4" s="4" t="s">
        <v>170</v>
      </c>
      <c r="E4" s="5">
        <v>90</v>
      </c>
      <c r="F4" s="5">
        <f t="shared" ref="F4:F95" si="0">E4+((E4*22)/100)</f>
        <v>109.8</v>
      </c>
      <c r="G4" s="5"/>
      <c r="H4" s="25" t="s">
        <v>66</v>
      </c>
      <c r="I4" s="25" t="s">
        <v>66</v>
      </c>
    </row>
    <row r="5" spans="1:12" hidden="1">
      <c r="A5" s="2">
        <v>45812</v>
      </c>
      <c r="B5" s="3" t="s">
        <v>172</v>
      </c>
      <c r="C5" s="32" t="s">
        <v>88</v>
      </c>
      <c r="D5" s="4" t="s">
        <v>173</v>
      </c>
      <c r="E5" s="5">
        <v>65</v>
      </c>
      <c r="F5" s="11">
        <f>E5+((E5*22)/100)</f>
        <v>79.3</v>
      </c>
      <c r="G5" s="11"/>
      <c r="H5" s="25" t="s">
        <v>66</v>
      </c>
      <c r="I5" s="25" t="s">
        <v>66</v>
      </c>
    </row>
    <row r="6" spans="1:12" hidden="1">
      <c r="A6" s="2">
        <v>45809</v>
      </c>
      <c r="B6" s="3" t="s">
        <v>172</v>
      </c>
      <c r="C6" s="32" t="s">
        <v>140</v>
      </c>
      <c r="D6" s="4" t="s">
        <v>174</v>
      </c>
      <c r="E6" s="11">
        <v>65</v>
      </c>
      <c r="F6" s="11">
        <f t="shared" si="0"/>
        <v>79.3</v>
      </c>
      <c r="G6" s="11"/>
      <c r="H6" s="25" t="s">
        <v>66</v>
      </c>
      <c r="I6" s="25" t="s">
        <v>66</v>
      </c>
    </row>
    <row r="7" spans="1:12" s="36" customFormat="1" ht="13.2" hidden="1">
      <c r="A7" s="39">
        <v>45810</v>
      </c>
      <c r="B7" s="51"/>
      <c r="C7" s="52"/>
      <c r="D7" s="46" t="s">
        <v>175</v>
      </c>
      <c r="E7" s="53">
        <f>SUM(E5)</f>
        <v>65</v>
      </c>
      <c r="F7" s="47">
        <f t="shared" si="0"/>
        <v>79.3</v>
      </c>
      <c r="G7" s="53"/>
      <c r="H7" s="54"/>
      <c r="I7" s="54"/>
    </row>
    <row r="8" spans="1:12" s="36" customFormat="1" ht="13.2" hidden="1">
      <c r="A8" s="39">
        <v>45811</v>
      </c>
      <c r="B8" s="51"/>
      <c r="C8" s="52"/>
      <c r="D8" s="46" t="s">
        <v>176</v>
      </c>
      <c r="E8" s="53">
        <f>SUM(E6)</f>
        <v>65</v>
      </c>
      <c r="F8" s="47">
        <f t="shared" si="0"/>
        <v>79.3</v>
      </c>
      <c r="G8" s="53"/>
      <c r="H8" s="54"/>
      <c r="I8" s="54"/>
    </row>
    <row r="9" spans="1:12" s="36" customFormat="1" ht="13.2" hidden="1">
      <c r="A9" s="39">
        <v>45812</v>
      </c>
      <c r="B9" s="51"/>
      <c r="C9" s="52"/>
      <c r="D9" s="46" t="s">
        <v>177</v>
      </c>
      <c r="E9" s="53">
        <f>SUM(E3:E4)</f>
        <v>150</v>
      </c>
      <c r="F9" s="47">
        <f>E9+((E9*22)/100)</f>
        <v>183</v>
      </c>
      <c r="G9" s="53"/>
      <c r="H9" s="54"/>
      <c r="I9" s="54"/>
    </row>
    <row r="10" spans="1:12" s="1" customFormat="1" ht="15.6" hidden="1">
      <c r="A10" s="39">
        <v>45809</v>
      </c>
      <c r="B10" s="40"/>
      <c r="C10" s="41"/>
      <c r="D10" s="37" t="s">
        <v>178</v>
      </c>
      <c r="E10" s="38">
        <f>SUM(E3:E6)</f>
        <v>280</v>
      </c>
      <c r="F10" s="38">
        <f>E10+((E10*22)/100)</f>
        <v>341.6</v>
      </c>
      <c r="G10" s="38"/>
      <c r="H10" s="42"/>
      <c r="I10" s="42"/>
    </row>
    <row r="11" spans="1:12" hidden="1">
      <c r="A11" s="28">
        <v>45839</v>
      </c>
      <c r="B11" s="29" t="s">
        <v>169</v>
      </c>
      <c r="C11" s="33" t="s">
        <v>117</v>
      </c>
      <c r="D11" s="30" t="s">
        <v>179</v>
      </c>
      <c r="E11" s="5">
        <v>128</v>
      </c>
      <c r="F11" s="11">
        <f t="shared" si="0"/>
        <v>156.16</v>
      </c>
      <c r="G11" s="5" t="s">
        <v>180</v>
      </c>
      <c r="H11" s="31" t="s">
        <v>66</v>
      </c>
      <c r="I11" s="31" t="s">
        <v>69</v>
      </c>
    </row>
    <row r="12" spans="1:12" hidden="1">
      <c r="A12" s="2">
        <v>45840</v>
      </c>
      <c r="B12" s="3" t="s">
        <v>169</v>
      </c>
      <c r="C12" s="32" t="s">
        <v>88</v>
      </c>
      <c r="D12" s="4" t="s">
        <v>181</v>
      </c>
      <c r="E12" s="5">
        <v>128</v>
      </c>
      <c r="F12" s="11">
        <f t="shared" si="0"/>
        <v>156.16</v>
      </c>
      <c r="G12" s="11"/>
      <c r="H12" s="25" t="s">
        <v>66</v>
      </c>
      <c r="I12" s="25" t="s">
        <v>66</v>
      </c>
    </row>
    <row r="13" spans="1:12" hidden="1">
      <c r="A13" s="2">
        <v>45841</v>
      </c>
      <c r="B13" s="3" t="s">
        <v>169</v>
      </c>
      <c r="C13" s="32" t="s">
        <v>155</v>
      </c>
      <c r="D13" s="4" t="s">
        <v>182</v>
      </c>
      <c r="E13" s="5">
        <v>128</v>
      </c>
      <c r="F13" s="11">
        <f t="shared" si="0"/>
        <v>156.16</v>
      </c>
      <c r="G13" s="11"/>
      <c r="H13" s="25" t="s">
        <v>66</v>
      </c>
      <c r="I13" s="25" t="s">
        <v>66</v>
      </c>
    </row>
    <row r="14" spans="1:12" hidden="1">
      <c r="A14" s="28">
        <v>45842</v>
      </c>
      <c r="B14" s="29" t="s">
        <v>171</v>
      </c>
      <c r="C14" s="33" t="s">
        <v>88</v>
      </c>
      <c r="D14" s="30" t="s">
        <v>181</v>
      </c>
      <c r="E14" s="5">
        <v>180</v>
      </c>
      <c r="F14" s="11">
        <f t="shared" si="0"/>
        <v>219.6</v>
      </c>
      <c r="G14" s="5"/>
      <c r="H14" s="31" t="s">
        <v>66</v>
      </c>
      <c r="I14" s="31" t="s">
        <v>66</v>
      </c>
    </row>
    <row r="15" spans="1:12" s="36" customFormat="1" ht="13.2" hidden="1">
      <c r="A15" s="55">
        <v>45843</v>
      </c>
      <c r="B15" s="51"/>
      <c r="C15" s="52"/>
      <c r="D15" s="46" t="s">
        <v>175</v>
      </c>
      <c r="E15" s="53">
        <f>E12+E14</f>
        <v>308</v>
      </c>
      <c r="F15" s="47">
        <f t="shared" ref="F15:F17" si="1">E15+((E15*22)/100)</f>
        <v>375.76</v>
      </c>
      <c r="G15" s="53"/>
      <c r="H15" s="54"/>
      <c r="I15" s="54"/>
    </row>
    <row r="16" spans="1:12" s="36" customFormat="1" ht="13.2" hidden="1">
      <c r="A16" s="55">
        <v>45844</v>
      </c>
      <c r="B16" s="51"/>
      <c r="C16" s="52"/>
      <c r="D16" s="46" t="s">
        <v>183</v>
      </c>
      <c r="E16" s="53">
        <f>SUM(E11)</f>
        <v>128</v>
      </c>
      <c r="F16" s="47">
        <f>E16+((E16*22)/100)</f>
        <v>156.16</v>
      </c>
      <c r="G16" s="53"/>
      <c r="H16" s="54"/>
      <c r="I16" s="54"/>
    </row>
    <row r="17" spans="1:9" s="36" customFormat="1" ht="13.2" hidden="1">
      <c r="A17" s="55">
        <v>45845</v>
      </c>
      <c r="B17" s="51"/>
      <c r="C17" s="52"/>
      <c r="D17" s="46" t="s">
        <v>184</v>
      </c>
      <c r="E17" s="53">
        <f>E13</f>
        <v>128</v>
      </c>
      <c r="F17" s="47">
        <f t="shared" si="1"/>
        <v>156.16</v>
      </c>
      <c r="G17" s="53"/>
      <c r="H17" s="54"/>
      <c r="I17" s="54"/>
    </row>
    <row r="18" spans="1:9" s="1" customFormat="1" ht="15.6" hidden="1">
      <c r="A18" s="39">
        <v>45844</v>
      </c>
      <c r="B18" s="40"/>
      <c r="C18" s="41"/>
      <c r="D18" s="37" t="s">
        <v>178</v>
      </c>
      <c r="E18" s="38">
        <f>SUM(E11:E14)</f>
        <v>564</v>
      </c>
      <c r="F18" s="38">
        <f>E18+((E18*22)/100)</f>
        <v>688.08</v>
      </c>
      <c r="G18" s="38"/>
      <c r="H18" s="42"/>
      <c r="I18" s="42"/>
    </row>
    <row r="19" spans="1:9" hidden="1">
      <c r="A19" s="28">
        <v>45901</v>
      </c>
      <c r="B19" s="29" t="s">
        <v>169</v>
      </c>
      <c r="C19" s="33" t="s">
        <v>137</v>
      </c>
      <c r="D19" s="30" t="s">
        <v>185</v>
      </c>
      <c r="E19" s="5">
        <v>128</v>
      </c>
      <c r="F19" s="5">
        <f>E19+((E19*22)/100)</f>
        <v>156.16</v>
      </c>
      <c r="G19" s="5"/>
      <c r="H19" s="31" t="s">
        <v>66</v>
      </c>
      <c r="I19" s="31" t="s">
        <v>66</v>
      </c>
    </row>
    <row r="20" spans="1:9" hidden="1">
      <c r="A20" s="2">
        <v>45901</v>
      </c>
      <c r="B20" s="3" t="s">
        <v>169</v>
      </c>
      <c r="C20" s="32" t="s">
        <v>137</v>
      </c>
      <c r="D20" s="4" t="s">
        <v>186</v>
      </c>
      <c r="E20" s="5">
        <v>60</v>
      </c>
      <c r="F20" s="5">
        <f t="shared" si="0"/>
        <v>73.2</v>
      </c>
      <c r="G20" s="5"/>
      <c r="H20" s="25" t="s">
        <v>66</v>
      </c>
      <c r="I20" s="31" t="s">
        <v>66</v>
      </c>
    </row>
    <row r="21" spans="1:9" hidden="1">
      <c r="A21" s="2">
        <v>45901</v>
      </c>
      <c r="B21" s="3" t="s">
        <v>169</v>
      </c>
      <c r="C21" s="32" t="s">
        <v>137</v>
      </c>
      <c r="D21" s="4" t="s">
        <v>187</v>
      </c>
      <c r="E21" s="5">
        <v>60</v>
      </c>
      <c r="F21" s="5">
        <f t="shared" si="0"/>
        <v>73.2</v>
      </c>
      <c r="G21" s="5"/>
      <c r="H21" s="25" t="s">
        <v>66</v>
      </c>
      <c r="I21" s="31" t="s">
        <v>66</v>
      </c>
    </row>
    <row r="22" spans="1:9" hidden="1">
      <c r="A22" s="2">
        <v>45901</v>
      </c>
      <c r="B22" s="3" t="s">
        <v>169</v>
      </c>
      <c r="C22" s="32" t="s">
        <v>99</v>
      </c>
      <c r="D22" s="4" t="s">
        <v>188</v>
      </c>
      <c r="E22" s="5">
        <v>60</v>
      </c>
      <c r="F22" s="5">
        <f t="shared" si="0"/>
        <v>73.2</v>
      </c>
      <c r="G22" s="5"/>
      <c r="H22" s="25" t="s">
        <v>66</v>
      </c>
      <c r="I22" s="31" t="s">
        <v>66</v>
      </c>
    </row>
    <row r="23" spans="1:9" hidden="1">
      <c r="A23" s="2">
        <v>45902</v>
      </c>
      <c r="B23" s="3" t="s">
        <v>169</v>
      </c>
      <c r="C23" s="32" t="s">
        <v>106</v>
      </c>
      <c r="D23" s="4" t="s">
        <v>189</v>
      </c>
      <c r="E23" s="5">
        <v>128</v>
      </c>
      <c r="F23" s="5">
        <f t="shared" si="0"/>
        <v>156.16</v>
      </c>
      <c r="G23" s="5"/>
      <c r="H23" s="25" t="s">
        <v>66</v>
      </c>
      <c r="I23" s="31" t="s">
        <v>66</v>
      </c>
    </row>
    <row r="24" spans="1:9" hidden="1">
      <c r="A24" s="2">
        <v>45903</v>
      </c>
      <c r="B24" s="3" t="s">
        <v>169</v>
      </c>
      <c r="C24" s="32" t="s">
        <v>106</v>
      </c>
      <c r="D24" s="4" t="s">
        <v>190</v>
      </c>
      <c r="E24" s="5">
        <v>128</v>
      </c>
      <c r="F24" s="5">
        <f t="shared" si="0"/>
        <v>156.16</v>
      </c>
      <c r="G24" s="5"/>
      <c r="H24" s="25" t="s">
        <v>66</v>
      </c>
      <c r="I24" s="31" t="s">
        <v>66</v>
      </c>
    </row>
    <row r="25" spans="1:9" hidden="1">
      <c r="A25" s="2">
        <v>45904</v>
      </c>
      <c r="B25" s="3" t="s">
        <v>169</v>
      </c>
      <c r="C25" s="32" t="s">
        <v>88</v>
      </c>
      <c r="D25" s="4" t="s">
        <v>191</v>
      </c>
      <c r="E25" s="5">
        <v>128</v>
      </c>
      <c r="F25" s="5">
        <f t="shared" si="0"/>
        <v>156.16</v>
      </c>
      <c r="G25" s="5"/>
      <c r="H25" s="25" t="s">
        <v>66</v>
      </c>
      <c r="I25" s="31" t="s">
        <v>66</v>
      </c>
    </row>
    <row r="26" spans="1:9" hidden="1">
      <c r="A26" s="2">
        <v>45905</v>
      </c>
      <c r="B26" s="3" t="s">
        <v>169</v>
      </c>
      <c r="C26" s="32" t="s">
        <v>129</v>
      </c>
      <c r="D26" s="4" t="s">
        <v>192</v>
      </c>
      <c r="E26" s="5">
        <v>128</v>
      </c>
      <c r="F26" s="5">
        <f t="shared" si="0"/>
        <v>156.16</v>
      </c>
      <c r="G26" s="5"/>
      <c r="H26" s="25" t="s">
        <v>66</v>
      </c>
      <c r="I26" s="31" t="s">
        <v>66</v>
      </c>
    </row>
    <row r="27" spans="1:9" hidden="1">
      <c r="A27" s="2">
        <v>45906</v>
      </c>
      <c r="B27" s="3" t="s">
        <v>169</v>
      </c>
      <c r="C27" s="32" t="s">
        <v>138</v>
      </c>
      <c r="D27" s="4" t="s">
        <v>193</v>
      </c>
      <c r="E27" s="5">
        <v>128</v>
      </c>
      <c r="F27" s="5">
        <f t="shared" si="0"/>
        <v>156.16</v>
      </c>
      <c r="G27" s="5"/>
      <c r="H27" s="25" t="s">
        <v>66</v>
      </c>
      <c r="I27" s="31" t="s">
        <v>66</v>
      </c>
    </row>
    <row r="28" spans="1:9" hidden="1">
      <c r="A28" s="2">
        <v>45907</v>
      </c>
      <c r="B28" s="3" t="s">
        <v>169</v>
      </c>
      <c r="C28" s="32" t="s">
        <v>138</v>
      </c>
      <c r="D28" s="4" t="s">
        <v>194</v>
      </c>
      <c r="E28" s="5">
        <v>128</v>
      </c>
      <c r="F28" s="5">
        <f t="shared" si="0"/>
        <v>156.16</v>
      </c>
      <c r="G28" s="5"/>
      <c r="H28" s="25" t="s">
        <v>66</v>
      </c>
      <c r="I28" s="31" t="s">
        <v>66</v>
      </c>
    </row>
    <row r="29" spans="1:9" hidden="1">
      <c r="A29" s="2">
        <v>45908</v>
      </c>
      <c r="B29" s="3" t="s">
        <v>169</v>
      </c>
      <c r="C29" s="32" t="s">
        <v>140</v>
      </c>
      <c r="D29" s="4" t="s">
        <v>195</v>
      </c>
      <c r="E29" s="5">
        <v>128</v>
      </c>
      <c r="F29" s="5">
        <f t="shared" si="0"/>
        <v>156.16</v>
      </c>
      <c r="G29" s="5"/>
      <c r="H29" s="25" t="s">
        <v>66</v>
      </c>
      <c r="I29" s="31" t="s">
        <v>66</v>
      </c>
    </row>
    <row r="30" spans="1:9" hidden="1">
      <c r="A30" s="2">
        <v>45909</v>
      </c>
      <c r="B30" s="3" t="s">
        <v>169</v>
      </c>
      <c r="C30" s="32" t="s">
        <v>146</v>
      </c>
      <c r="D30" s="4" t="s">
        <v>196</v>
      </c>
      <c r="E30" s="5">
        <v>128</v>
      </c>
      <c r="F30" s="5">
        <f t="shared" si="0"/>
        <v>156.16</v>
      </c>
      <c r="G30" s="5"/>
      <c r="H30" s="25" t="s">
        <v>66</v>
      </c>
      <c r="I30" s="31" t="s">
        <v>66</v>
      </c>
    </row>
    <row r="31" spans="1:9" hidden="1">
      <c r="A31" s="2">
        <v>45911</v>
      </c>
      <c r="B31" s="3" t="s">
        <v>169</v>
      </c>
      <c r="C31" s="32" t="s">
        <v>197</v>
      </c>
      <c r="D31" s="4" t="s">
        <v>198</v>
      </c>
      <c r="E31" s="5">
        <v>60</v>
      </c>
      <c r="F31" s="5">
        <f>E31+((E31*22)/100)</f>
        <v>73.2</v>
      </c>
      <c r="G31" s="5" t="s">
        <v>199</v>
      </c>
      <c r="H31" s="25" t="s">
        <v>69</v>
      </c>
      <c r="I31" s="31" t="s">
        <v>69</v>
      </c>
    </row>
    <row r="32" spans="1:9" hidden="1">
      <c r="A32" s="2">
        <v>45901</v>
      </c>
      <c r="B32" s="3" t="s">
        <v>171</v>
      </c>
      <c r="C32" s="32" t="s">
        <v>137</v>
      </c>
      <c r="D32" s="4" t="s">
        <v>200</v>
      </c>
      <c r="E32" s="5">
        <v>90</v>
      </c>
      <c r="F32" s="5">
        <f t="shared" si="0"/>
        <v>109.8</v>
      </c>
      <c r="G32" s="5"/>
      <c r="H32" s="25" t="s">
        <v>66</v>
      </c>
      <c r="I32" s="31" t="s">
        <v>66</v>
      </c>
    </row>
    <row r="33" spans="1:9" hidden="1">
      <c r="A33" s="7">
        <v>45901</v>
      </c>
      <c r="B33" s="8" t="s">
        <v>171</v>
      </c>
      <c r="C33" s="34" t="s">
        <v>99</v>
      </c>
      <c r="D33" s="9" t="s">
        <v>188</v>
      </c>
      <c r="E33" s="5">
        <v>90</v>
      </c>
      <c r="F33" s="5">
        <f t="shared" si="0"/>
        <v>109.8</v>
      </c>
      <c r="G33" s="5"/>
      <c r="H33" s="26" t="s">
        <v>66</v>
      </c>
      <c r="I33" s="31" t="s">
        <v>66</v>
      </c>
    </row>
    <row r="34" spans="1:9" hidden="1">
      <c r="A34" s="7">
        <v>45902</v>
      </c>
      <c r="B34" s="3" t="s">
        <v>171</v>
      </c>
      <c r="C34" s="32" t="s">
        <v>197</v>
      </c>
      <c r="D34" s="4" t="s">
        <v>198</v>
      </c>
      <c r="E34" s="5">
        <v>90</v>
      </c>
      <c r="F34" s="5">
        <f>E34+((E34*22)/100)</f>
        <v>109.8</v>
      </c>
      <c r="G34" s="5" t="s">
        <v>199</v>
      </c>
      <c r="H34" s="25" t="s">
        <v>69</v>
      </c>
      <c r="I34" s="31" t="s">
        <v>69</v>
      </c>
    </row>
    <row r="35" spans="1:9" s="36" customFormat="1" ht="13.2" hidden="1">
      <c r="A35" s="43">
        <v>45903</v>
      </c>
      <c r="B35" s="44"/>
      <c r="C35" s="45"/>
      <c r="D35" s="46" t="s">
        <v>201</v>
      </c>
      <c r="E35" s="47">
        <f>+E31+E34</f>
        <v>150</v>
      </c>
      <c r="F35" s="47">
        <f>E35+((E35*22)/100)</f>
        <v>183</v>
      </c>
      <c r="G35" s="47"/>
      <c r="H35" s="48"/>
      <c r="I35" s="48"/>
    </row>
    <row r="36" spans="1:9" s="36" customFormat="1" ht="13.2" hidden="1">
      <c r="A36" s="43">
        <v>45904</v>
      </c>
      <c r="B36" s="44"/>
      <c r="C36" s="45"/>
      <c r="D36" s="46" t="s">
        <v>175</v>
      </c>
      <c r="E36" s="47">
        <f>+E25</f>
        <v>128</v>
      </c>
      <c r="F36" s="47">
        <f t="shared" ref="F36:F43" si="2">E36+((E36*22)/100)</f>
        <v>156.16</v>
      </c>
      <c r="G36" s="47"/>
      <c r="H36" s="48"/>
      <c r="I36" s="48"/>
    </row>
    <row r="37" spans="1:9" s="36" customFormat="1" ht="13.2" hidden="1">
      <c r="A37" s="43">
        <v>45905</v>
      </c>
      <c r="B37" s="44"/>
      <c r="C37" s="45"/>
      <c r="D37" s="46" t="s">
        <v>202</v>
      </c>
      <c r="E37" s="47" t="e">
        <f>+E30+#REF!</f>
        <v>#REF!</v>
      </c>
      <c r="F37" s="47" t="e">
        <f t="shared" si="2"/>
        <v>#REF!</v>
      </c>
      <c r="G37" s="47"/>
      <c r="H37" s="48"/>
      <c r="I37" s="48"/>
    </row>
    <row r="38" spans="1:9" s="36" customFormat="1" ht="13.2" hidden="1">
      <c r="A38" s="43">
        <v>45906</v>
      </c>
      <c r="B38" s="44"/>
      <c r="C38" s="45"/>
      <c r="D38" s="46" t="s">
        <v>203</v>
      </c>
      <c r="E38" s="47">
        <f>+E22+E33</f>
        <v>150</v>
      </c>
      <c r="F38" s="47">
        <f t="shared" si="2"/>
        <v>183</v>
      </c>
      <c r="G38" s="47"/>
      <c r="H38" s="48"/>
      <c r="I38" s="48"/>
    </row>
    <row r="39" spans="1:9" s="36" customFormat="1" ht="13.2" hidden="1">
      <c r="A39" s="43">
        <v>45907</v>
      </c>
      <c r="B39" s="44"/>
      <c r="C39" s="45"/>
      <c r="D39" s="46" t="s">
        <v>204</v>
      </c>
      <c r="E39" s="47">
        <f>+E27+E28</f>
        <v>256</v>
      </c>
      <c r="F39" s="47">
        <f t="shared" si="2"/>
        <v>312.32</v>
      </c>
      <c r="G39" s="47"/>
      <c r="H39" s="48"/>
      <c r="I39" s="48"/>
    </row>
    <row r="40" spans="1:9" s="36" customFormat="1" ht="13.2" hidden="1">
      <c r="A40" s="43">
        <v>45908</v>
      </c>
      <c r="B40" s="44"/>
      <c r="C40" s="45"/>
      <c r="D40" s="46" t="s">
        <v>176</v>
      </c>
      <c r="E40" s="47">
        <f>+E29</f>
        <v>128</v>
      </c>
      <c r="F40" s="47">
        <f t="shared" si="2"/>
        <v>156.16</v>
      </c>
      <c r="G40" s="47"/>
      <c r="H40" s="48"/>
      <c r="I40" s="48"/>
    </row>
    <row r="41" spans="1:9" s="36" customFormat="1" ht="13.2" hidden="1">
      <c r="A41" s="43">
        <v>45909</v>
      </c>
      <c r="B41" s="44"/>
      <c r="C41" s="45"/>
      <c r="D41" s="46" t="s">
        <v>205</v>
      </c>
      <c r="E41" s="47">
        <f>+E23+E24</f>
        <v>256</v>
      </c>
      <c r="F41" s="47">
        <f t="shared" si="2"/>
        <v>312.32</v>
      </c>
      <c r="G41" s="47"/>
      <c r="H41" s="48"/>
      <c r="I41" s="48"/>
    </row>
    <row r="42" spans="1:9" s="36" customFormat="1" ht="13.2" hidden="1">
      <c r="A42" s="43">
        <v>45910</v>
      </c>
      <c r="B42" s="44"/>
      <c r="C42" s="45"/>
      <c r="D42" s="46" t="s">
        <v>177</v>
      </c>
      <c r="E42" s="47">
        <f>+E19+E20+E21+E32</f>
        <v>338</v>
      </c>
      <c r="F42" s="47">
        <f t="shared" si="2"/>
        <v>412.36</v>
      </c>
      <c r="G42" s="47"/>
      <c r="H42" s="48"/>
      <c r="I42" s="48"/>
    </row>
    <row r="43" spans="1:9" s="36" customFormat="1" ht="13.2" hidden="1">
      <c r="A43" s="43">
        <v>45911</v>
      </c>
      <c r="B43" s="44"/>
      <c r="C43" s="45"/>
      <c r="D43" s="46" t="s">
        <v>206</v>
      </c>
      <c r="E43" s="47">
        <f>+E26</f>
        <v>128</v>
      </c>
      <c r="F43" s="47">
        <f t="shared" si="2"/>
        <v>156.16</v>
      </c>
      <c r="G43" s="47"/>
      <c r="H43" s="48"/>
      <c r="I43" s="48"/>
    </row>
    <row r="44" spans="1:9" s="1" customFormat="1" ht="15.6" hidden="1">
      <c r="A44" s="39">
        <v>45901</v>
      </c>
      <c r="B44" s="40"/>
      <c r="C44" s="41"/>
      <c r="D44" s="37" t="s">
        <v>178</v>
      </c>
      <c r="E44" s="38">
        <f>SUM(E19:E34)</f>
        <v>1662</v>
      </c>
      <c r="F44" s="38">
        <f t="shared" si="0"/>
        <v>2027.6399999999999</v>
      </c>
      <c r="G44" s="38"/>
      <c r="H44" s="42"/>
      <c r="I44" s="42"/>
    </row>
    <row r="45" spans="1:9" hidden="1">
      <c r="A45" s="2">
        <v>45931</v>
      </c>
      <c r="B45" s="3" t="s">
        <v>169</v>
      </c>
      <c r="C45" s="32" t="s">
        <v>61</v>
      </c>
      <c r="D45" s="4" t="s">
        <v>207</v>
      </c>
      <c r="E45" s="5">
        <v>128</v>
      </c>
      <c r="F45" s="5">
        <f t="shared" si="0"/>
        <v>156.16</v>
      </c>
      <c r="G45" s="5"/>
      <c r="H45" s="25" t="s">
        <v>66</v>
      </c>
      <c r="I45" s="25" t="s">
        <v>66</v>
      </c>
    </row>
    <row r="46" spans="1:9" hidden="1">
      <c r="A46" s="2">
        <v>45931</v>
      </c>
      <c r="B46" s="3" t="s">
        <v>169</v>
      </c>
      <c r="C46" s="32" t="s">
        <v>129</v>
      </c>
      <c r="D46" s="4" t="s">
        <v>208</v>
      </c>
      <c r="E46" s="5">
        <v>60</v>
      </c>
      <c r="F46" s="5">
        <f t="shared" si="0"/>
        <v>73.2</v>
      </c>
      <c r="G46" s="5"/>
      <c r="H46" s="25" t="s">
        <v>66</v>
      </c>
      <c r="I46" s="25" t="s">
        <v>66</v>
      </c>
    </row>
    <row r="47" spans="1:9" hidden="1">
      <c r="A47" s="2">
        <v>45931</v>
      </c>
      <c r="B47" s="3" t="s">
        <v>169</v>
      </c>
      <c r="C47" s="32" t="s">
        <v>127</v>
      </c>
      <c r="D47" s="4" t="s">
        <v>209</v>
      </c>
      <c r="E47" s="5">
        <v>60</v>
      </c>
      <c r="F47" s="5">
        <f t="shared" si="0"/>
        <v>73.2</v>
      </c>
      <c r="G47" s="5"/>
      <c r="H47" s="25" t="s">
        <v>66</v>
      </c>
      <c r="I47" s="25" t="s">
        <v>66</v>
      </c>
    </row>
    <row r="48" spans="1:9" hidden="1">
      <c r="A48" s="2">
        <v>45933</v>
      </c>
      <c r="B48" s="3" t="s">
        <v>169</v>
      </c>
      <c r="C48" s="32" t="s">
        <v>117</v>
      </c>
      <c r="D48" s="4" t="s">
        <v>210</v>
      </c>
      <c r="E48" s="5">
        <v>60</v>
      </c>
      <c r="F48" s="5">
        <f>E48+((E48*22)/100)</f>
        <v>73.2</v>
      </c>
      <c r="G48" s="11"/>
      <c r="H48" s="25" t="s">
        <v>66</v>
      </c>
      <c r="I48" s="25" t="s">
        <v>66</v>
      </c>
    </row>
    <row r="49" spans="1:9" hidden="1">
      <c r="A49" s="2">
        <v>45935</v>
      </c>
      <c r="B49" s="3" t="s">
        <v>171</v>
      </c>
      <c r="C49" s="32" t="s">
        <v>129</v>
      </c>
      <c r="D49" s="4" t="s">
        <v>208</v>
      </c>
      <c r="E49" s="5">
        <v>90</v>
      </c>
      <c r="F49" s="5">
        <f t="shared" si="0"/>
        <v>109.8</v>
      </c>
      <c r="G49" s="11"/>
      <c r="H49" s="25" t="s">
        <v>66</v>
      </c>
      <c r="I49" s="25" t="s">
        <v>66</v>
      </c>
    </row>
    <row r="50" spans="1:9" hidden="1">
      <c r="A50" s="2">
        <v>45936</v>
      </c>
      <c r="B50" s="8" t="s">
        <v>171</v>
      </c>
      <c r="C50" s="34" t="s">
        <v>127</v>
      </c>
      <c r="D50" s="9" t="s">
        <v>209</v>
      </c>
      <c r="E50" s="5">
        <v>90</v>
      </c>
      <c r="F50" s="5">
        <f t="shared" si="0"/>
        <v>109.8</v>
      </c>
      <c r="G50" s="11"/>
      <c r="H50" s="26" t="s">
        <v>66</v>
      </c>
      <c r="I50" s="26" t="s">
        <v>66</v>
      </c>
    </row>
    <row r="51" spans="1:9" hidden="1">
      <c r="A51" s="2">
        <v>45938</v>
      </c>
      <c r="B51" s="3" t="s">
        <v>171</v>
      </c>
      <c r="C51" s="32" t="s">
        <v>117</v>
      </c>
      <c r="D51" s="4" t="s">
        <v>210</v>
      </c>
      <c r="E51" s="5">
        <v>90</v>
      </c>
      <c r="F51" s="5">
        <f>E51+((E51*22)/100)</f>
        <v>109.8</v>
      </c>
      <c r="G51" s="11"/>
      <c r="H51" s="25" t="s">
        <v>66</v>
      </c>
      <c r="I51" s="25" t="s">
        <v>66</v>
      </c>
    </row>
    <row r="52" spans="1:9" hidden="1">
      <c r="A52" s="2">
        <v>45939</v>
      </c>
      <c r="B52" s="3" t="s">
        <v>172</v>
      </c>
      <c r="C52" s="32" t="s">
        <v>61</v>
      </c>
      <c r="D52" s="4" t="s">
        <v>207</v>
      </c>
      <c r="E52" s="11">
        <v>65</v>
      </c>
      <c r="F52" s="5">
        <f t="shared" si="0"/>
        <v>79.3</v>
      </c>
      <c r="G52" s="11"/>
      <c r="H52" s="25" t="s">
        <v>66</v>
      </c>
      <c r="I52" s="25" t="s">
        <v>66</v>
      </c>
    </row>
    <row r="53" spans="1:9" hidden="1">
      <c r="A53" s="2">
        <v>45940</v>
      </c>
      <c r="B53" s="3" t="s">
        <v>172</v>
      </c>
      <c r="C53" s="32" t="s">
        <v>137</v>
      </c>
      <c r="D53" s="4" t="s">
        <v>185</v>
      </c>
      <c r="E53" s="11">
        <v>65</v>
      </c>
      <c r="F53" s="5">
        <f t="shared" ref="F53" si="3">E53+((E53*22)/100)</f>
        <v>79.3</v>
      </c>
      <c r="G53" s="5"/>
      <c r="H53" s="25" t="s">
        <v>66</v>
      </c>
      <c r="I53" s="25" t="s">
        <v>66</v>
      </c>
    </row>
    <row r="54" spans="1:9" hidden="1">
      <c r="A54" s="2">
        <v>45940</v>
      </c>
      <c r="B54" s="3" t="s">
        <v>211</v>
      </c>
      <c r="C54" s="32"/>
      <c r="D54" s="4" t="s">
        <v>212</v>
      </c>
      <c r="E54" s="10">
        <f>70*25</f>
        <v>1750</v>
      </c>
      <c r="F54" s="5">
        <f>E54+((E54*22)/100)</f>
        <v>2135</v>
      </c>
      <c r="G54" s="5"/>
      <c r="H54" s="25" t="s">
        <v>66</v>
      </c>
      <c r="I54" s="25" t="s">
        <v>66</v>
      </c>
    </row>
    <row r="55" spans="1:9" s="36" customFormat="1" ht="13.2" hidden="1">
      <c r="A55" s="39">
        <v>45941</v>
      </c>
      <c r="B55" s="44"/>
      <c r="C55" s="45"/>
      <c r="D55" s="46" t="s">
        <v>175</v>
      </c>
      <c r="E55" s="47">
        <f>70*4</f>
        <v>280</v>
      </c>
      <c r="F55" s="47">
        <f t="shared" ref="F55:F56" si="4">E55+((E55*22)/100)</f>
        <v>341.6</v>
      </c>
      <c r="G55" s="47"/>
      <c r="H55" s="48"/>
      <c r="I55" s="48"/>
    </row>
    <row r="56" spans="1:9" s="36" customFormat="1" ht="13.2" hidden="1">
      <c r="A56" s="39">
        <v>45942</v>
      </c>
      <c r="B56" s="44"/>
      <c r="C56" s="45"/>
      <c r="D56" s="46" t="s">
        <v>202</v>
      </c>
      <c r="E56" s="47">
        <v>70</v>
      </c>
      <c r="F56" s="47">
        <f t="shared" si="4"/>
        <v>85.4</v>
      </c>
      <c r="G56" s="47"/>
      <c r="H56" s="48"/>
      <c r="I56" s="48"/>
    </row>
    <row r="57" spans="1:9" s="36" customFormat="1" ht="13.2" hidden="1">
      <c r="A57" s="39">
        <v>45943</v>
      </c>
      <c r="B57" s="44"/>
      <c r="C57" s="45"/>
      <c r="D57" s="46" t="s">
        <v>213</v>
      </c>
      <c r="E57" s="47">
        <f>+E47+E50+70*2</f>
        <v>290</v>
      </c>
      <c r="F57" s="47">
        <f>E57+((E57*22)/100)</f>
        <v>353.8</v>
      </c>
      <c r="G57" s="47"/>
      <c r="H57" s="48"/>
      <c r="I57" s="48"/>
    </row>
    <row r="58" spans="1:9" s="36" customFormat="1" ht="13.2" hidden="1">
      <c r="A58" s="39">
        <v>45944</v>
      </c>
      <c r="B58" s="44"/>
      <c r="C58" s="45"/>
      <c r="D58" s="46" t="s">
        <v>203</v>
      </c>
      <c r="E58" s="47">
        <f>70*3</f>
        <v>210</v>
      </c>
      <c r="F58" s="47">
        <f>E58+((E58*22)/100)</f>
        <v>256.2</v>
      </c>
      <c r="G58" s="47"/>
      <c r="H58" s="48"/>
      <c r="I58" s="48"/>
    </row>
    <row r="59" spans="1:9" s="36" customFormat="1" ht="13.2" hidden="1">
      <c r="A59" s="39">
        <v>45945</v>
      </c>
      <c r="B59" s="44"/>
      <c r="C59" s="45"/>
      <c r="D59" s="46" t="s">
        <v>183</v>
      </c>
      <c r="E59" s="47">
        <f>+E48+E51+70</f>
        <v>220</v>
      </c>
      <c r="F59" s="47">
        <f t="shared" ref="F59:F68" si="5">E59+((E59*22)/100)</f>
        <v>268.39999999999998</v>
      </c>
      <c r="G59" s="47"/>
      <c r="H59" s="48"/>
      <c r="I59" s="48"/>
    </row>
    <row r="60" spans="1:9" s="36" customFormat="1" ht="13.2" hidden="1">
      <c r="A60" s="39">
        <v>45946</v>
      </c>
      <c r="B60" s="44"/>
      <c r="C60" s="45"/>
      <c r="D60" s="46" t="s">
        <v>204</v>
      </c>
      <c r="E60" s="47">
        <f>70*2</f>
        <v>140</v>
      </c>
      <c r="F60" s="47">
        <f t="shared" si="5"/>
        <v>170.8</v>
      </c>
      <c r="G60" s="47"/>
      <c r="H60" s="48"/>
      <c r="I60" s="48"/>
    </row>
    <row r="61" spans="1:9" s="36" customFormat="1" ht="13.2" hidden="1">
      <c r="A61" s="39">
        <v>45947</v>
      </c>
      <c r="B61" s="44"/>
      <c r="C61" s="45"/>
      <c r="D61" s="46" t="s">
        <v>176</v>
      </c>
      <c r="E61" s="47">
        <f>70*3</f>
        <v>210</v>
      </c>
      <c r="F61" s="47">
        <f t="shared" si="5"/>
        <v>256.2</v>
      </c>
      <c r="G61" s="47"/>
      <c r="H61" s="48"/>
      <c r="I61" s="48"/>
    </row>
    <row r="62" spans="1:9" s="36" customFormat="1" ht="13.2" hidden="1">
      <c r="A62" s="39">
        <v>45948</v>
      </c>
      <c r="B62" s="44"/>
      <c r="C62" s="45"/>
      <c r="D62" s="46" t="s">
        <v>184</v>
      </c>
      <c r="E62" s="47">
        <v>70</v>
      </c>
      <c r="F62" s="47">
        <f t="shared" si="5"/>
        <v>85.4</v>
      </c>
      <c r="G62" s="47"/>
      <c r="H62" s="48"/>
      <c r="I62" s="48"/>
    </row>
    <row r="63" spans="1:9" s="36" customFormat="1" ht="13.2" hidden="1">
      <c r="A63" s="39">
        <v>45949</v>
      </c>
      <c r="B63" s="44"/>
      <c r="C63" s="45"/>
      <c r="D63" s="46" t="s">
        <v>205</v>
      </c>
      <c r="E63" s="47">
        <f>70*2</f>
        <v>140</v>
      </c>
      <c r="F63" s="47">
        <f t="shared" si="5"/>
        <v>170.8</v>
      </c>
      <c r="G63" s="47"/>
      <c r="H63" s="48"/>
      <c r="I63" s="48"/>
    </row>
    <row r="64" spans="1:9" s="36" customFormat="1" ht="13.2" hidden="1">
      <c r="A64" s="39">
        <v>45950</v>
      </c>
      <c r="B64" s="44"/>
      <c r="C64" s="45"/>
      <c r="D64" s="46" t="s">
        <v>214</v>
      </c>
      <c r="E64" s="47">
        <f>+E45+E52+70</f>
        <v>263</v>
      </c>
      <c r="F64" s="47">
        <f t="shared" si="5"/>
        <v>320.86</v>
      </c>
      <c r="G64" s="47"/>
      <c r="H64" s="48"/>
      <c r="I64" s="48"/>
    </row>
    <row r="65" spans="1:11" s="36" customFormat="1" ht="13.2" hidden="1">
      <c r="A65" s="39">
        <v>45951</v>
      </c>
      <c r="B65" s="44"/>
      <c r="C65" s="45"/>
      <c r="D65" s="46" t="s">
        <v>177</v>
      </c>
      <c r="E65" s="47">
        <f>70+E53</f>
        <v>135</v>
      </c>
      <c r="F65" s="47">
        <f t="shared" si="5"/>
        <v>164.7</v>
      </c>
      <c r="G65" s="47"/>
      <c r="H65" s="48"/>
      <c r="I65" s="48"/>
    </row>
    <row r="66" spans="1:11" s="36" customFormat="1" ht="13.2" hidden="1">
      <c r="A66" s="39">
        <v>45952</v>
      </c>
      <c r="B66" s="44"/>
      <c r="C66" s="45"/>
      <c r="D66" s="46" t="s">
        <v>206</v>
      </c>
      <c r="E66" s="47">
        <f>+E46+E49+70*2</f>
        <v>290</v>
      </c>
      <c r="F66" s="47">
        <f t="shared" si="5"/>
        <v>353.8</v>
      </c>
      <c r="G66" s="47"/>
      <c r="H66" s="48"/>
      <c r="I66" s="48"/>
    </row>
    <row r="67" spans="1:11" s="36" customFormat="1" ht="13.2" hidden="1">
      <c r="A67" s="39">
        <v>45953</v>
      </c>
      <c r="B67" s="44"/>
      <c r="C67" s="45"/>
      <c r="D67" s="46" t="s">
        <v>215</v>
      </c>
      <c r="E67" s="47">
        <f>70</f>
        <v>70</v>
      </c>
      <c r="F67" s="47">
        <f t="shared" si="5"/>
        <v>85.4</v>
      </c>
      <c r="G67" s="47"/>
      <c r="H67" s="48"/>
      <c r="I67" s="48"/>
    </row>
    <row r="68" spans="1:11" s="36" customFormat="1" ht="13.2" hidden="1">
      <c r="A68" s="39">
        <v>45954</v>
      </c>
      <c r="B68" s="44"/>
      <c r="C68" s="45"/>
      <c r="D68" s="46" t="s">
        <v>216</v>
      </c>
      <c r="E68" s="47">
        <v>70</v>
      </c>
      <c r="F68" s="47">
        <f t="shared" si="5"/>
        <v>85.4</v>
      </c>
      <c r="G68" s="47"/>
      <c r="H68" s="48"/>
      <c r="I68" s="48"/>
    </row>
    <row r="69" spans="1:11" s="1" customFormat="1" ht="15.6" hidden="1">
      <c r="A69" s="39">
        <v>45946</v>
      </c>
      <c r="B69" s="40"/>
      <c r="C69" s="41"/>
      <c r="D69" s="37" t="s">
        <v>178</v>
      </c>
      <c r="E69" s="38">
        <f>SUM(E45:E54)</f>
        <v>2458</v>
      </c>
      <c r="F69" s="38">
        <f>E69+((E69*22)/100)</f>
        <v>2998.76</v>
      </c>
      <c r="G69" s="38"/>
      <c r="H69" s="42"/>
      <c r="I69" s="42"/>
    </row>
    <row r="70" spans="1:11" hidden="1">
      <c r="A70" s="2">
        <v>45962</v>
      </c>
      <c r="B70" s="3" t="s">
        <v>169</v>
      </c>
      <c r="C70" s="32" t="s">
        <v>129</v>
      </c>
      <c r="D70" s="4" t="s">
        <v>217</v>
      </c>
      <c r="E70" s="5">
        <v>128</v>
      </c>
      <c r="F70" s="5">
        <f t="shared" si="0"/>
        <v>156.16</v>
      </c>
      <c r="G70" s="5" t="s">
        <v>218</v>
      </c>
      <c r="H70" s="25" t="s">
        <v>69</v>
      </c>
      <c r="I70" s="25" t="s">
        <v>69</v>
      </c>
    </row>
    <row r="71" spans="1:11" hidden="1">
      <c r="A71" s="2">
        <v>45962</v>
      </c>
      <c r="B71" s="3" t="s">
        <v>171</v>
      </c>
      <c r="C71" s="32" t="s">
        <v>129</v>
      </c>
      <c r="D71" s="4" t="s">
        <v>219</v>
      </c>
      <c r="E71" s="5">
        <f>90+90</f>
        <v>180</v>
      </c>
      <c r="F71" s="5">
        <f>E71+((E71*22)/100)</f>
        <v>219.6</v>
      </c>
      <c r="G71" s="5" t="s">
        <v>218</v>
      </c>
      <c r="H71" s="25" t="s">
        <v>69</v>
      </c>
      <c r="I71" s="25" t="s">
        <v>69</v>
      </c>
    </row>
    <row r="72" spans="1:11" hidden="1">
      <c r="A72" s="2">
        <v>45963</v>
      </c>
      <c r="B72" s="3" t="s">
        <v>220</v>
      </c>
      <c r="C72" s="32" t="s">
        <v>99</v>
      </c>
      <c r="D72" s="4" t="s">
        <v>221</v>
      </c>
      <c r="E72" s="5">
        <v>250</v>
      </c>
      <c r="F72" s="5">
        <f t="shared" ref="F72:F73" si="6">E72+((E72*22)/100)</f>
        <v>305</v>
      </c>
      <c r="G72" s="5"/>
      <c r="H72" s="25" t="s">
        <v>66</v>
      </c>
      <c r="I72" s="25"/>
    </row>
    <row r="73" spans="1:11" hidden="1">
      <c r="A73" s="2">
        <v>45964</v>
      </c>
      <c r="B73" s="3" t="s">
        <v>220</v>
      </c>
      <c r="C73" s="32" t="s">
        <v>127</v>
      </c>
      <c r="D73" s="4" t="s">
        <v>209</v>
      </c>
      <c r="E73" s="5">
        <v>250</v>
      </c>
      <c r="F73" s="5">
        <f t="shared" si="6"/>
        <v>305</v>
      </c>
      <c r="G73" s="5"/>
      <c r="H73" s="25" t="s">
        <v>66</v>
      </c>
      <c r="I73" s="25" t="s">
        <v>66</v>
      </c>
    </row>
    <row r="74" spans="1:11" hidden="1">
      <c r="A74" s="2">
        <v>45963</v>
      </c>
      <c r="B74" s="3" t="s">
        <v>172</v>
      </c>
      <c r="C74" s="32" t="s">
        <v>129</v>
      </c>
      <c r="D74" s="4" t="s">
        <v>219</v>
      </c>
      <c r="E74" s="5">
        <v>65</v>
      </c>
      <c r="F74" s="5">
        <f t="shared" ref="F74:F77" si="7">E74+((E74*22)/100)</f>
        <v>79.3</v>
      </c>
      <c r="G74" s="5" t="s">
        <v>218</v>
      </c>
      <c r="H74" s="25" t="s">
        <v>69</v>
      </c>
      <c r="I74" s="25" t="s">
        <v>69</v>
      </c>
    </row>
    <row r="75" spans="1:11" s="36" customFormat="1" ht="13.2" hidden="1">
      <c r="A75" s="39">
        <v>45965</v>
      </c>
      <c r="B75" s="44"/>
      <c r="C75" s="45"/>
      <c r="D75" s="46" t="s">
        <v>206</v>
      </c>
      <c r="E75" s="47">
        <f>+E70+E71+E74</f>
        <v>373</v>
      </c>
      <c r="F75" s="47">
        <f t="shared" si="7"/>
        <v>455.06</v>
      </c>
      <c r="G75" s="47"/>
      <c r="H75" s="48"/>
      <c r="I75" s="48"/>
    </row>
    <row r="76" spans="1:11" s="36" customFormat="1" ht="13.2" hidden="1">
      <c r="A76" s="39">
        <v>45966</v>
      </c>
      <c r="B76" s="44"/>
      <c r="C76" s="45"/>
      <c r="D76" s="46" t="s">
        <v>203</v>
      </c>
      <c r="E76" s="47">
        <f>+E72</f>
        <v>250</v>
      </c>
      <c r="F76" s="47">
        <f t="shared" si="7"/>
        <v>305</v>
      </c>
      <c r="G76" s="47"/>
      <c r="H76" s="48"/>
      <c r="I76" s="48"/>
    </row>
    <row r="77" spans="1:11" s="36" customFormat="1" ht="13.2" hidden="1">
      <c r="A77" s="39">
        <v>45967</v>
      </c>
      <c r="B77" s="44"/>
      <c r="C77" s="45"/>
      <c r="D77" s="46" t="s">
        <v>213</v>
      </c>
      <c r="E77" s="47">
        <f>+E73</f>
        <v>250</v>
      </c>
      <c r="F77" s="47">
        <f t="shared" si="7"/>
        <v>305</v>
      </c>
      <c r="G77" s="47"/>
      <c r="H77" s="48"/>
      <c r="I77" s="48"/>
    </row>
    <row r="78" spans="1:11" s="1" customFormat="1" ht="16.2" hidden="1" thickBot="1">
      <c r="A78" s="209">
        <v>45968</v>
      </c>
      <c r="B78" s="210"/>
      <c r="C78" s="211"/>
      <c r="D78" s="212" t="s">
        <v>178</v>
      </c>
      <c r="E78" s="213">
        <f>SUM(E70:E74)</f>
        <v>873</v>
      </c>
      <c r="F78" s="213">
        <f t="shared" si="0"/>
        <v>1065.06</v>
      </c>
      <c r="G78" s="213"/>
      <c r="H78" s="214"/>
      <c r="I78" s="214"/>
    </row>
    <row r="79" spans="1:11">
      <c r="A79" s="28">
        <v>45992</v>
      </c>
      <c r="B79" s="29" t="s">
        <v>169</v>
      </c>
      <c r="C79" s="33" t="s">
        <v>129</v>
      </c>
      <c r="D79" s="198"/>
      <c r="E79" s="152">
        <v>128</v>
      </c>
      <c r="F79" s="152">
        <f t="shared" ref="F79" si="8">E79+((E79*22)/100)</f>
        <v>156.16</v>
      </c>
      <c r="G79" s="152" t="s">
        <v>222</v>
      </c>
      <c r="H79" s="208" t="s">
        <v>66</v>
      </c>
      <c r="I79" s="208" t="s">
        <v>66</v>
      </c>
      <c r="J79" s="245" t="s">
        <v>438</v>
      </c>
      <c r="K79" s="341"/>
    </row>
    <row r="80" spans="1:11">
      <c r="A80" s="2">
        <v>45992</v>
      </c>
      <c r="B80" s="3" t="s">
        <v>169</v>
      </c>
      <c r="C80" s="32" t="s">
        <v>155</v>
      </c>
      <c r="D80" s="151"/>
      <c r="E80" s="152">
        <v>60</v>
      </c>
      <c r="F80" s="152">
        <f t="shared" si="0"/>
        <v>73.2</v>
      </c>
      <c r="G80" s="152" t="s">
        <v>222</v>
      </c>
      <c r="H80" s="156" t="s">
        <v>66</v>
      </c>
      <c r="I80" s="156" t="s">
        <v>66</v>
      </c>
      <c r="J80" s="252" t="s">
        <v>223</v>
      </c>
      <c r="K80" s="342"/>
    </row>
    <row r="81" spans="1:12">
      <c r="A81" s="2">
        <v>45993</v>
      </c>
      <c r="B81" s="3" t="s">
        <v>169</v>
      </c>
      <c r="C81" s="32" t="s">
        <v>146</v>
      </c>
      <c r="D81" s="167"/>
      <c r="E81" s="168"/>
      <c r="F81" s="168"/>
      <c r="G81" s="169" t="s">
        <v>69</v>
      </c>
      <c r="H81" s="215" t="s">
        <v>69</v>
      </c>
      <c r="I81" s="251"/>
      <c r="J81" s="253"/>
      <c r="K81" s="343"/>
    </row>
    <row r="82" spans="1:12">
      <c r="A82" s="2">
        <v>45994</v>
      </c>
      <c r="B82" s="3" t="s">
        <v>169</v>
      </c>
      <c r="C82" s="32" t="s">
        <v>138</v>
      </c>
      <c r="D82" s="151"/>
      <c r="E82" s="152">
        <v>60</v>
      </c>
      <c r="F82" s="152">
        <f t="shared" si="0"/>
        <v>73.2</v>
      </c>
      <c r="G82" s="152" t="s">
        <v>222</v>
      </c>
      <c r="H82" s="156" t="s">
        <v>66</v>
      </c>
      <c r="I82" s="156" t="s">
        <v>66</v>
      </c>
      <c r="J82" s="245" t="s">
        <v>224</v>
      </c>
      <c r="K82" s="342"/>
    </row>
    <row r="83" spans="1:12">
      <c r="A83" s="2">
        <v>45995</v>
      </c>
      <c r="B83" s="3" t="s">
        <v>169</v>
      </c>
      <c r="C83" s="32" t="s">
        <v>127</v>
      </c>
      <c r="D83" s="151"/>
      <c r="E83" s="152">
        <v>60</v>
      </c>
      <c r="F83" s="152">
        <f>E83+((E83*22)/100)</f>
        <v>73.2</v>
      </c>
      <c r="G83" s="152" t="s">
        <v>222</v>
      </c>
      <c r="H83" s="156" t="s">
        <v>66</v>
      </c>
      <c r="I83" s="156" t="s">
        <v>66</v>
      </c>
      <c r="J83" s="252" t="s">
        <v>225</v>
      </c>
      <c r="K83" s="342"/>
    </row>
    <row r="84" spans="1:12">
      <c r="A84" s="2">
        <v>45995</v>
      </c>
      <c r="B84" s="3" t="s">
        <v>172</v>
      </c>
      <c r="C84" s="32" t="s">
        <v>129</v>
      </c>
      <c r="D84" s="151"/>
      <c r="E84" s="152">
        <v>65</v>
      </c>
      <c r="F84" s="152">
        <f t="shared" ref="F84" si="9">E84+((E84*22)/100)</f>
        <v>79.3</v>
      </c>
      <c r="G84" s="152" t="s">
        <v>222</v>
      </c>
      <c r="H84" s="153" t="s">
        <v>66</v>
      </c>
      <c r="I84" s="254" t="s">
        <v>66</v>
      </c>
      <c r="J84" s="345"/>
      <c r="K84" s="343"/>
    </row>
    <row r="85" spans="1:12">
      <c r="A85" s="2">
        <v>45997</v>
      </c>
      <c r="B85" s="8" t="s">
        <v>171</v>
      </c>
      <c r="C85" s="34" t="s">
        <v>146</v>
      </c>
      <c r="D85" s="165"/>
      <c r="E85" s="152">
        <v>90</v>
      </c>
      <c r="F85" s="152">
        <f t="shared" si="0"/>
        <v>109.8</v>
      </c>
      <c r="G85" s="152" t="s">
        <v>222</v>
      </c>
      <c r="H85" s="153" t="s">
        <v>66</v>
      </c>
      <c r="I85" s="254" t="s">
        <v>66</v>
      </c>
      <c r="J85" s="346"/>
      <c r="K85" s="343"/>
    </row>
    <row r="86" spans="1:12">
      <c r="A86" s="2">
        <v>45997</v>
      </c>
      <c r="B86" s="3" t="s">
        <v>171</v>
      </c>
      <c r="C86" s="32" t="s">
        <v>129</v>
      </c>
      <c r="D86" s="151"/>
      <c r="E86" s="152">
        <f>90+90</f>
        <v>180</v>
      </c>
      <c r="F86" s="152">
        <f>E86+((E86*22)/100)</f>
        <v>219.6</v>
      </c>
      <c r="G86" s="152" t="s">
        <v>222</v>
      </c>
      <c r="H86" s="153" t="s">
        <v>66</v>
      </c>
      <c r="I86" s="254" t="s">
        <v>66</v>
      </c>
      <c r="J86" s="346"/>
      <c r="K86" s="343"/>
    </row>
    <row r="87" spans="1:12">
      <c r="A87" s="2">
        <v>45998</v>
      </c>
      <c r="B87" s="3" t="s">
        <v>171</v>
      </c>
      <c r="C87" s="32" t="s">
        <v>155</v>
      </c>
      <c r="D87" s="151"/>
      <c r="E87" s="152">
        <v>90</v>
      </c>
      <c r="F87" s="152">
        <f t="shared" si="0"/>
        <v>109.8</v>
      </c>
      <c r="G87" s="152" t="s">
        <v>222</v>
      </c>
      <c r="H87" s="156" t="s">
        <v>66</v>
      </c>
      <c r="I87" s="254" t="s">
        <v>66</v>
      </c>
      <c r="J87" s="346"/>
      <c r="K87" s="343"/>
      <c r="L87" s="303">
        <v>0.6</v>
      </c>
    </row>
    <row r="88" spans="1:12">
      <c r="A88" s="2">
        <v>45999</v>
      </c>
      <c r="B88" s="3" t="s">
        <v>171</v>
      </c>
      <c r="C88" s="32" t="s">
        <v>138</v>
      </c>
      <c r="D88" s="151"/>
      <c r="E88" s="152">
        <v>90</v>
      </c>
      <c r="F88" s="152">
        <f>E88+((E88*22)/100)</f>
        <v>109.8</v>
      </c>
      <c r="G88" s="152" t="s">
        <v>222</v>
      </c>
      <c r="H88" s="156" t="s">
        <v>66</v>
      </c>
      <c r="I88" s="255" t="s">
        <v>66</v>
      </c>
      <c r="J88" s="346"/>
      <c r="K88" s="343"/>
    </row>
    <row r="89" spans="1:12">
      <c r="A89" s="2">
        <v>46000</v>
      </c>
      <c r="B89" s="3" t="s">
        <v>171</v>
      </c>
      <c r="C89" s="32" t="s">
        <v>100</v>
      </c>
      <c r="D89" s="151"/>
      <c r="E89" s="152">
        <v>90</v>
      </c>
      <c r="F89" s="152">
        <f>E89+((E89*22)/100)</f>
        <v>109.8</v>
      </c>
      <c r="G89" s="152" t="s">
        <v>222</v>
      </c>
      <c r="H89" s="156" t="s">
        <v>66</v>
      </c>
      <c r="I89" s="254" t="s">
        <v>66</v>
      </c>
      <c r="J89" s="347"/>
      <c r="K89" s="344"/>
    </row>
    <row r="90" spans="1:12" s="36" customFormat="1" ht="13.2" hidden="1">
      <c r="A90" s="39">
        <v>46003</v>
      </c>
      <c r="B90" s="44"/>
      <c r="C90" s="45"/>
      <c r="D90" s="46"/>
      <c r="E90" s="47" t="e">
        <f>+#REF!+E85+E81</f>
        <v>#REF!</v>
      </c>
      <c r="F90" s="47" t="e">
        <f t="shared" si="0"/>
        <v>#REF!</v>
      </c>
      <c r="G90" s="47"/>
      <c r="H90" s="48"/>
      <c r="I90" s="48"/>
      <c r="J90" s="246"/>
      <c r="K90" s="246"/>
    </row>
    <row r="91" spans="1:12" s="36" customFormat="1" ht="13.2" hidden="1">
      <c r="A91" s="39">
        <v>46004</v>
      </c>
      <c r="B91" s="44"/>
      <c r="C91" s="45"/>
      <c r="D91" s="46"/>
      <c r="E91" s="47">
        <f>+E82+E88</f>
        <v>150</v>
      </c>
      <c r="F91" s="47">
        <f t="shared" si="0"/>
        <v>183</v>
      </c>
      <c r="G91" s="47"/>
      <c r="H91" s="48"/>
      <c r="I91" s="48"/>
      <c r="J91" s="246"/>
      <c r="K91" s="246"/>
    </row>
    <row r="92" spans="1:12" s="36" customFormat="1" ht="13.2" hidden="1">
      <c r="A92" s="39">
        <v>46006</v>
      </c>
      <c r="B92" s="44"/>
      <c r="C92" s="45"/>
      <c r="D92" s="46"/>
      <c r="E92" s="47">
        <f>+E80+E87</f>
        <v>150</v>
      </c>
      <c r="F92" s="47">
        <f t="shared" si="0"/>
        <v>183</v>
      </c>
      <c r="G92" s="47"/>
      <c r="H92" s="48"/>
      <c r="I92" s="48"/>
      <c r="J92" s="246"/>
      <c r="K92" s="246"/>
    </row>
    <row r="93" spans="1:12" s="36" customFormat="1" ht="13.2" hidden="1">
      <c r="A93" s="39">
        <v>46007</v>
      </c>
      <c r="B93" s="44"/>
      <c r="C93" s="45"/>
      <c r="D93" s="46"/>
      <c r="E93" s="47" t="e">
        <f>+E83+E89+#REF!</f>
        <v>#REF!</v>
      </c>
      <c r="F93" s="47" t="e">
        <f t="shared" si="0"/>
        <v>#REF!</v>
      </c>
      <c r="G93" s="47"/>
      <c r="H93" s="48"/>
      <c r="I93" s="48"/>
      <c r="J93" s="246"/>
      <c r="K93" s="246"/>
    </row>
    <row r="94" spans="1:12" s="1" customFormat="1" ht="15.6">
      <c r="A94" s="39">
        <v>46008</v>
      </c>
      <c r="B94" s="40"/>
      <c r="C94" s="49"/>
      <c r="D94" s="216"/>
      <c r="E94" s="38">
        <f>SUM(E79:E89)</f>
        <v>913</v>
      </c>
      <c r="F94" s="38">
        <f t="shared" si="0"/>
        <v>1113.8600000000001</v>
      </c>
      <c r="G94" s="338"/>
      <c r="H94" s="339"/>
      <c r="I94" s="339"/>
      <c r="J94" s="339"/>
      <c r="K94" s="340"/>
    </row>
    <row r="95" spans="1:12">
      <c r="A95" s="2">
        <v>46023</v>
      </c>
      <c r="B95" s="3" t="s">
        <v>169</v>
      </c>
      <c r="C95" s="32" t="s">
        <v>100</v>
      </c>
      <c r="D95" s="151"/>
      <c r="E95" s="152">
        <v>128</v>
      </c>
      <c r="F95" s="152">
        <f t="shared" si="0"/>
        <v>156.16</v>
      </c>
      <c r="G95" s="152" t="s">
        <v>222</v>
      </c>
      <c r="H95" s="156" t="s">
        <v>66</v>
      </c>
      <c r="I95" s="156" t="s">
        <v>66</v>
      </c>
      <c r="J95" s="245" t="s">
        <v>226</v>
      </c>
      <c r="K95" s="245" t="s">
        <v>439</v>
      </c>
    </row>
    <row r="96" spans="1:12">
      <c r="A96" s="28">
        <v>45992</v>
      </c>
      <c r="B96" s="29" t="s">
        <v>169</v>
      </c>
      <c r="C96" s="33" t="s">
        <v>146</v>
      </c>
      <c r="D96" s="198"/>
      <c r="E96" s="152">
        <v>90</v>
      </c>
      <c r="F96" s="152">
        <f t="shared" ref="F96" si="10">E96+((E96*22)/100)</f>
        <v>109.8</v>
      </c>
      <c r="G96" s="152" t="s">
        <v>222</v>
      </c>
      <c r="H96" s="156" t="s">
        <v>66</v>
      </c>
      <c r="I96" s="156" t="s">
        <v>66</v>
      </c>
      <c r="J96" s="252" t="s">
        <v>227</v>
      </c>
      <c r="K96" s="341"/>
    </row>
    <row r="97" spans="1:14">
      <c r="A97" s="2">
        <v>46023</v>
      </c>
      <c r="B97" s="3" t="s">
        <v>169</v>
      </c>
      <c r="C97" s="32" t="s">
        <v>100</v>
      </c>
      <c r="D97" s="171"/>
      <c r="E97" s="172"/>
      <c r="F97" s="172"/>
      <c r="G97" s="173" t="s">
        <v>69</v>
      </c>
      <c r="H97" s="215" t="s">
        <v>69</v>
      </c>
      <c r="I97" s="251"/>
      <c r="J97" s="253"/>
      <c r="K97" s="343"/>
    </row>
    <row r="98" spans="1:14">
      <c r="A98" s="2">
        <v>46023</v>
      </c>
      <c r="B98" s="3" t="s">
        <v>169</v>
      </c>
      <c r="C98" s="32" t="s">
        <v>100</v>
      </c>
      <c r="D98" s="151"/>
      <c r="E98" s="152">
        <v>90</v>
      </c>
      <c r="F98" s="152">
        <f t="shared" ref="F98:F110" si="11">E98+((E98*22)/100)</f>
        <v>109.8</v>
      </c>
      <c r="G98" s="152" t="s">
        <v>222</v>
      </c>
      <c r="H98" s="156" t="s">
        <v>66</v>
      </c>
      <c r="I98" s="156" t="s">
        <v>66</v>
      </c>
      <c r="J98" s="245" t="s">
        <v>226</v>
      </c>
      <c r="K98" s="348"/>
    </row>
    <row r="99" spans="1:14">
      <c r="A99" s="2">
        <v>46023</v>
      </c>
      <c r="B99" s="3" t="s">
        <v>169</v>
      </c>
      <c r="C99" s="32" t="s">
        <v>138</v>
      </c>
      <c r="D99" s="151"/>
      <c r="E99" s="152">
        <v>90</v>
      </c>
      <c r="F99" s="152">
        <f t="shared" si="11"/>
        <v>109.8</v>
      </c>
      <c r="G99" s="152" t="s">
        <v>222</v>
      </c>
      <c r="H99" s="156" t="s">
        <v>66</v>
      </c>
      <c r="I99" s="156" t="s">
        <v>66</v>
      </c>
      <c r="J99" s="272" t="s">
        <v>228</v>
      </c>
      <c r="K99" s="245" t="s">
        <v>440</v>
      </c>
    </row>
    <row r="100" spans="1:14">
      <c r="A100" s="2">
        <v>46025</v>
      </c>
      <c r="B100" s="3" t="s">
        <v>169</v>
      </c>
      <c r="C100" s="32" t="s">
        <v>140</v>
      </c>
      <c r="D100" s="151"/>
      <c r="E100" s="152">
        <v>128</v>
      </c>
      <c r="F100" s="152">
        <f t="shared" si="11"/>
        <v>156.16</v>
      </c>
      <c r="G100" s="152" t="s">
        <v>222</v>
      </c>
      <c r="H100" s="156" t="s">
        <v>66</v>
      </c>
      <c r="I100" s="156" t="s">
        <v>66</v>
      </c>
      <c r="J100" s="245" t="s">
        <v>229</v>
      </c>
      <c r="K100" s="245" t="s">
        <v>440</v>
      </c>
    </row>
    <row r="101" spans="1:14">
      <c r="A101" s="2">
        <v>46026</v>
      </c>
      <c r="B101" s="3" t="s">
        <v>169</v>
      </c>
      <c r="C101" s="32" t="s">
        <v>99</v>
      </c>
      <c r="D101" s="151"/>
      <c r="E101" s="152">
        <v>128</v>
      </c>
      <c r="F101" s="152">
        <f t="shared" ref="F101" si="12">E101+((E101*22)/100)</f>
        <v>156.16</v>
      </c>
      <c r="G101" s="152" t="s">
        <v>222</v>
      </c>
      <c r="H101" s="156" t="s">
        <v>66</v>
      </c>
      <c r="I101" s="156" t="s">
        <v>66</v>
      </c>
      <c r="J101" s="245" t="s">
        <v>230</v>
      </c>
      <c r="K101" s="245" t="s">
        <v>440</v>
      </c>
    </row>
    <row r="102" spans="1:14">
      <c r="A102" s="2">
        <v>46027</v>
      </c>
      <c r="B102" s="3" t="s">
        <v>169</v>
      </c>
      <c r="C102" s="32" t="s">
        <v>110</v>
      </c>
      <c r="D102" s="151"/>
      <c r="E102" s="152">
        <v>128</v>
      </c>
      <c r="F102" s="152">
        <f t="shared" si="11"/>
        <v>156.16</v>
      </c>
      <c r="G102" s="152" t="s">
        <v>222</v>
      </c>
      <c r="H102" s="156" t="s">
        <v>66</v>
      </c>
      <c r="I102" s="156" t="s">
        <v>66</v>
      </c>
      <c r="J102" s="245" t="s">
        <v>231</v>
      </c>
      <c r="K102" s="245" t="s">
        <v>441</v>
      </c>
    </row>
    <row r="103" spans="1:14">
      <c r="A103" s="2">
        <v>46028</v>
      </c>
      <c r="B103" s="3" t="s">
        <v>169</v>
      </c>
      <c r="C103" s="32" t="s">
        <v>137</v>
      </c>
      <c r="D103" s="151"/>
      <c r="E103" s="152">
        <v>128</v>
      </c>
      <c r="F103" s="152">
        <f t="shared" si="11"/>
        <v>156.16</v>
      </c>
      <c r="G103" s="152" t="s">
        <v>222</v>
      </c>
      <c r="H103" s="156" t="s">
        <v>66</v>
      </c>
      <c r="I103" s="156" t="s">
        <v>66</v>
      </c>
      <c r="J103" s="245" t="s">
        <v>232</v>
      </c>
      <c r="K103" s="245" t="s">
        <v>442</v>
      </c>
    </row>
    <row r="104" spans="1:14">
      <c r="A104" s="2">
        <v>46029</v>
      </c>
      <c r="B104" s="3" t="s">
        <v>169</v>
      </c>
      <c r="C104" s="32" t="s">
        <v>140</v>
      </c>
      <c r="D104" s="151"/>
      <c r="E104" s="152">
        <v>128</v>
      </c>
      <c r="F104" s="152">
        <f t="shared" si="11"/>
        <v>156.16</v>
      </c>
      <c r="G104" s="152" t="s">
        <v>222</v>
      </c>
      <c r="H104" s="156" t="s">
        <v>66</v>
      </c>
      <c r="I104" s="156" t="s">
        <v>66</v>
      </c>
      <c r="J104" s="245" t="s">
        <v>229</v>
      </c>
      <c r="K104" s="245" t="s">
        <v>440</v>
      </c>
    </row>
    <row r="105" spans="1:14">
      <c r="A105" s="2">
        <v>46030</v>
      </c>
      <c r="B105" s="3" t="s">
        <v>169</v>
      </c>
      <c r="C105" s="32" t="s">
        <v>99</v>
      </c>
      <c r="D105" s="151"/>
      <c r="E105" s="152">
        <v>128</v>
      </c>
      <c r="F105" s="152">
        <f t="shared" si="11"/>
        <v>156.16</v>
      </c>
      <c r="G105" s="152" t="s">
        <v>222</v>
      </c>
      <c r="H105" s="156" t="s">
        <v>66</v>
      </c>
      <c r="I105" s="156" t="s">
        <v>66</v>
      </c>
      <c r="J105" s="245" t="s">
        <v>230</v>
      </c>
      <c r="K105" s="245" t="s">
        <v>440</v>
      </c>
    </row>
    <row r="106" spans="1:14">
      <c r="A106" s="2">
        <v>46031</v>
      </c>
      <c r="B106" s="3" t="s">
        <v>169</v>
      </c>
      <c r="C106" s="32" t="s">
        <v>197</v>
      </c>
      <c r="D106" s="151"/>
      <c r="E106" s="152">
        <v>90</v>
      </c>
      <c r="F106" s="152">
        <f t="shared" si="11"/>
        <v>109.8</v>
      </c>
      <c r="G106" s="152" t="s">
        <v>222</v>
      </c>
      <c r="H106" s="156" t="s">
        <v>66</v>
      </c>
      <c r="I106" s="156" t="s">
        <v>66</v>
      </c>
      <c r="J106" s="245" t="s">
        <v>233</v>
      </c>
      <c r="K106" s="341"/>
    </row>
    <row r="107" spans="1:14">
      <c r="A107" s="2">
        <v>46032</v>
      </c>
      <c r="B107" s="3" t="s">
        <v>169</v>
      </c>
      <c r="C107" s="32" t="s">
        <v>110</v>
      </c>
      <c r="D107" s="151"/>
      <c r="E107" s="181">
        <v>90</v>
      </c>
      <c r="F107" s="152">
        <f>E107+((E107*22)/100)</f>
        <v>109.8</v>
      </c>
      <c r="G107" s="152" t="s">
        <v>222</v>
      </c>
      <c r="H107" s="156" t="s">
        <v>66</v>
      </c>
      <c r="I107" s="156" t="s">
        <v>66</v>
      </c>
      <c r="J107" s="245" t="s">
        <v>231</v>
      </c>
      <c r="K107" s="348"/>
    </row>
    <row r="108" spans="1:14">
      <c r="A108" s="2">
        <v>46032</v>
      </c>
      <c r="B108" s="3" t="s">
        <v>169</v>
      </c>
      <c r="C108" s="32" t="s">
        <v>99</v>
      </c>
      <c r="D108" s="151"/>
      <c r="E108" s="181">
        <v>90</v>
      </c>
      <c r="F108" s="152">
        <f>E108+((E108*22)/100)</f>
        <v>109.8</v>
      </c>
      <c r="G108" s="152" t="s">
        <v>222</v>
      </c>
      <c r="H108" s="156" t="s">
        <v>66</v>
      </c>
      <c r="I108" s="156" t="s">
        <v>66</v>
      </c>
      <c r="J108" s="245" t="s">
        <v>230</v>
      </c>
      <c r="K108" s="245" t="s">
        <v>440</v>
      </c>
    </row>
    <row r="109" spans="1:14">
      <c r="A109" s="2">
        <v>46032</v>
      </c>
      <c r="B109" s="3" t="s">
        <v>220</v>
      </c>
      <c r="C109" s="32" t="s">
        <v>61</v>
      </c>
      <c r="D109" s="151"/>
      <c r="E109" s="152">
        <v>250</v>
      </c>
      <c r="F109" s="152">
        <f t="shared" ref="F109" si="13">E109+((E109*22)/100)</f>
        <v>305</v>
      </c>
      <c r="G109" s="152" t="s">
        <v>222</v>
      </c>
      <c r="H109" s="156" t="s">
        <v>66</v>
      </c>
      <c r="I109" s="156" t="s">
        <v>66</v>
      </c>
      <c r="J109" s="345"/>
      <c r="K109" s="349"/>
      <c r="L109" s="6" t="s">
        <v>480</v>
      </c>
    </row>
    <row r="110" spans="1:14">
      <c r="A110" s="2">
        <v>46034</v>
      </c>
      <c r="B110" s="3" t="s">
        <v>171</v>
      </c>
      <c r="C110" s="32" t="s">
        <v>100</v>
      </c>
      <c r="D110" s="148"/>
      <c r="E110" s="149">
        <f>90+90</f>
        <v>180</v>
      </c>
      <c r="F110" s="149">
        <f t="shared" si="11"/>
        <v>219.6</v>
      </c>
      <c r="G110" s="149" t="s">
        <v>222</v>
      </c>
      <c r="H110" s="150" t="s">
        <v>66</v>
      </c>
      <c r="I110" s="150"/>
      <c r="J110" s="346"/>
      <c r="K110" s="343"/>
      <c r="L110" s="6" t="s">
        <v>475</v>
      </c>
      <c r="N110" s="6" t="s">
        <v>481</v>
      </c>
    </row>
    <row r="111" spans="1:14">
      <c r="A111" s="2">
        <v>46035</v>
      </c>
      <c r="B111" s="3" t="s">
        <v>171</v>
      </c>
      <c r="C111" s="32" t="s">
        <v>100</v>
      </c>
      <c r="D111" s="171"/>
      <c r="E111" s="172"/>
      <c r="F111" s="172"/>
      <c r="G111" s="173" t="s">
        <v>69</v>
      </c>
      <c r="H111" s="215" t="s">
        <v>69</v>
      </c>
      <c r="I111" s="170"/>
      <c r="J111" s="346"/>
      <c r="K111" s="343"/>
    </row>
    <row r="112" spans="1:14">
      <c r="A112" s="2">
        <v>46036</v>
      </c>
      <c r="B112" s="3" t="s">
        <v>171</v>
      </c>
      <c r="C112" s="32" t="s">
        <v>100</v>
      </c>
      <c r="D112" s="148"/>
      <c r="E112" s="149">
        <v>60</v>
      </c>
      <c r="F112" s="149">
        <f t="shared" ref="F112:F170" si="14">E112+((E112*22)/100)</f>
        <v>73.2</v>
      </c>
      <c r="G112" s="149" t="s">
        <v>222</v>
      </c>
      <c r="H112" s="150" t="s">
        <v>66</v>
      </c>
      <c r="I112" s="150"/>
      <c r="J112" s="346"/>
      <c r="K112" s="343"/>
      <c r="L112" s="6" t="s">
        <v>476</v>
      </c>
    </row>
    <row r="113" spans="1:14">
      <c r="A113" s="2">
        <v>46037</v>
      </c>
      <c r="B113" s="3" t="s">
        <v>171</v>
      </c>
      <c r="C113" s="32" t="s">
        <v>138</v>
      </c>
      <c r="D113" s="148"/>
      <c r="E113" s="149">
        <f>60*2</f>
        <v>120</v>
      </c>
      <c r="F113" s="149">
        <f t="shared" si="14"/>
        <v>146.4</v>
      </c>
      <c r="G113" s="149" t="s">
        <v>222</v>
      </c>
      <c r="H113" s="150" t="s">
        <v>66</v>
      </c>
      <c r="I113" s="150"/>
      <c r="J113" s="346"/>
      <c r="K113" s="343"/>
      <c r="L113" s="6" t="s">
        <v>477</v>
      </c>
      <c r="N113" s="6" t="s">
        <v>481</v>
      </c>
    </row>
    <row r="114" spans="1:14">
      <c r="A114" s="2">
        <v>46037</v>
      </c>
      <c r="B114" s="3" t="s">
        <v>171</v>
      </c>
      <c r="C114" s="32" t="s">
        <v>110</v>
      </c>
      <c r="D114" s="151"/>
      <c r="E114" s="181">
        <v>90</v>
      </c>
      <c r="F114" s="152">
        <f>E114+((E114*22)/100)</f>
        <v>109.8</v>
      </c>
      <c r="G114" s="152" t="s">
        <v>222</v>
      </c>
      <c r="H114" s="156" t="s">
        <v>66</v>
      </c>
      <c r="I114" s="156" t="s">
        <v>66</v>
      </c>
      <c r="J114" s="346"/>
      <c r="K114" s="343"/>
      <c r="L114" s="6" t="s">
        <v>478</v>
      </c>
    </row>
    <row r="115" spans="1:14">
      <c r="A115" s="2">
        <v>46039</v>
      </c>
      <c r="B115" s="3" t="s">
        <v>172</v>
      </c>
      <c r="C115" s="32" t="s">
        <v>99</v>
      </c>
      <c r="D115" s="151"/>
      <c r="E115" s="181">
        <v>65</v>
      </c>
      <c r="F115" s="152">
        <f t="shared" ref="F115" si="15">E115+((E115*22)/100)</f>
        <v>79.3</v>
      </c>
      <c r="G115" s="152" t="s">
        <v>222</v>
      </c>
      <c r="H115" s="156" t="s">
        <v>66</v>
      </c>
      <c r="I115" s="156" t="s">
        <v>66</v>
      </c>
      <c r="J115" s="346"/>
      <c r="K115" s="343"/>
    </row>
    <row r="116" spans="1:14">
      <c r="A116" s="2">
        <v>46039</v>
      </c>
      <c r="B116" s="3" t="s">
        <v>172</v>
      </c>
      <c r="C116" s="32" t="s">
        <v>138</v>
      </c>
      <c r="D116" s="151"/>
      <c r="E116" s="181">
        <v>65</v>
      </c>
      <c r="F116" s="152">
        <f t="shared" si="14"/>
        <v>79.3</v>
      </c>
      <c r="G116" s="152" t="s">
        <v>222</v>
      </c>
      <c r="H116" s="156" t="s">
        <v>66</v>
      </c>
      <c r="I116" s="156" t="s">
        <v>66</v>
      </c>
      <c r="J116" s="346"/>
      <c r="K116" s="343"/>
    </row>
    <row r="117" spans="1:14">
      <c r="A117" s="2">
        <v>46040</v>
      </c>
      <c r="B117" s="8" t="s">
        <v>172</v>
      </c>
      <c r="C117" s="34" t="s">
        <v>100</v>
      </c>
      <c r="D117" s="165"/>
      <c r="E117" s="181">
        <v>65</v>
      </c>
      <c r="F117" s="152">
        <f t="shared" si="14"/>
        <v>79.3</v>
      </c>
      <c r="G117" s="152" t="s">
        <v>222</v>
      </c>
      <c r="H117" s="156" t="s">
        <v>66</v>
      </c>
      <c r="I117" s="156" t="s">
        <v>66</v>
      </c>
      <c r="J117" s="346"/>
      <c r="K117" s="343"/>
    </row>
    <row r="118" spans="1:14">
      <c r="A118" s="2">
        <v>46041</v>
      </c>
      <c r="B118" s="3" t="s">
        <v>172</v>
      </c>
      <c r="C118" s="32" t="s">
        <v>100</v>
      </c>
      <c r="D118" s="171"/>
      <c r="E118" s="174"/>
      <c r="F118" s="172"/>
      <c r="G118" s="173" t="s">
        <v>69</v>
      </c>
      <c r="H118" s="215" t="s">
        <v>69</v>
      </c>
      <c r="I118" s="170"/>
      <c r="J118" s="347"/>
      <c r="K118" s="344"/>
    </row>
    <row r="119" spans="1:14" s="36" customFormat="1" ht="13.2" hidden="1">
      <c r="A119" s="39">
        <v>46023</v>
      </c>
      <c r="B119" s="56"/>
      <c r="C119" s="45"/>
      <c r="D119" s="46"/>
      <c r="E119" s="47">
        <f>+E106</f>
        <v>90</v>
      </c>
      <c r="F119" s="47">
        <f t="shared" si="14"/>
        <v>109.8</v>
      </c>
      <c r="G119" s="47"/>
      <c r="H119" s="48"/>
      <c r="I119" s="48"/>
      <c r="J119" s="246"/>
      <c r="K119" s="246"/>
    </row>
    <row r="120" spans="1:14" s="36" customFormat="1" ht="13.2" hidden="1">
      <c r="A120" s="39">
        <v>46023</v>
      </c>
      <c r="B120" s="56"/>
      <c r="C120" s="45"/>
      <c r="D120" s="46"/>
      <c r="E120" s="47" t="e">
        <f>+E100+#REF!+E102</f>
        <v>#REF!</v>
      </c>
      <c r="F120" s="47" t="e">
        <f t="shared" si="14"/>
        <v>#REF!</v>
      </c>
      <c r="G120" s="47"/>
      <c r="H120" s="48"/>
      <c r="I120" s="48"/>
      <c r="J120" s="246"/>
      <c r="K120" s="246"/>
    </row>
    <row r="121" spans="1:14" s="36" customFormat="1" ht="13.2" hidden="1">
      <c r="A121" s="39">
        <v>46023</v>
      </c>
      <c r="B121" s="56"/>
      <c r="C121" s="45"/>
      <c r="D121" s="46"/>
      <c r="E121" s="47">
        <f>+E99+E113+E116</f>
        <v>275</v>
      </c>
      <c r="F121" s="47">
        <f t="shared" si="14"/>
        <v>335.5</v>
      </c>
      <c r="G121" s="47"/>
      <c r="H121" s="48"/>
      <c r="I121" s="48"/>
      <c r="J121" s="246"/>
      <c r="K121" s="246"/>
    </row>
    <row r="122" spans="1:14" s="36" customFormat="1" ht="13.2" hidden="1">
      <c r="A122" s="39">
        <v>46023</v>
      </c>
      <c r="B122" s="56"/>
      <c r="C122" s="45"/>
      <c r="D122" s="46"/>
      <c r="E122" s="47">
        <f>+E104+E105</f>
        <v>256</v>
      </c>
      <c r="F122" s="47">
        <f t="shared" si="14"/>
        <v>312.32</v>
      </c>
      <c r="G122" s="47"/>
      <c r="H122" s="48"/>
      <c r="I122" s="48"/>
      <c r="J122" s="246"/>
      <c r="K122" s="246"/>
    </row>
    <row r="123" spans="1:14" s="36" customFormat="1" ht="13.2" hidden="1">
      <c r="A123" s="39">
        <v>46023</v>
      </c>
      <c r="B123" s="56"/>
      <c r="C123" s="45"/>
      <c r="D123" s="46"/>
      <c r="E123" s="47">
        <f>+E103</f>
        <v>128</v>
      </c>
      <c r="F123" s="47">
        <f t="shared" si="14"/>
        <v>156.16</v>
      </c>
      <c r="G123" s="47"/>
      <c r="H123" s="48"/>
      <c r="I123" s="48"/>
      <c r="J123" s="246"/>
      <c r="K123" s="246"/>
    </row>
    <row r="124" spans="1:14" s="36" customFormat="1" ht="13.2" hidden="1">
      <c r="A124" s="39">
        <v>46023</v>
      </c>
      <c r="B124" s="56"/>
      <c r="C124" s="45"/>
      <c r="D124" s="46"/>
      <c r="E124" s="47">
        <f>+E95+E97+E98+E110+E111+E112+E117+E118</f>
        <v>523</v>
      </c>
      <c r="F124" s="47">
        <f t="shared" si="14"/>
        <v>638.05999999999995</v>
      </c>
      <c r="G124" s="47"/>
      <c r="H124" s="48"/>
      <c r="I124" s="48"/>
      <c r="J124" s="246"/>
      <c r="K124" s="246"/>
    </row>
    <row r="125" spans="1:14" s="36" customFormat="1" ht="13.2" hidden="1">
      <c r="A125" s="39">
        <v>46023</v>
      </c>
      <c r="B125" s="56"/>
      <c r="C125" s="45"/>
      <c r="D125" s="46"/>
      <c r="E125" s="47">
        <f>+E107</f>
        <v>90</v>
      </c>
      <c r="F125" s="47">
        <f t="shared" si="14"/>
        <v>109.8</v>
      </c>
      <c r="G125" s="47"/>
      <c r="H125" s="48"/>
      <c r="I125" s="48"/>
      <c r="J125" s="246"/>
      <c r="K125" s="246"/>
    </row>
    <row r="126" spans="1:14" s="1" customFormat="1" ht="15.6">
      <c r="A126" s="39">
        <v>46023</v>
      </c>
      <c r="B126" s="50"/>
      <c r="C126" s="49"/>
      <c r="D126" s="216"/>
      <c r="E126" s="38">
        <f>SUM(E95:E118)</f>
        <v>2331</v>
      </c>
      <c r="F126" s="38">
        <f t="shared" si="14"/>
        <v>2843.82</v>
      </c>
      <c r="G126" s="338"/>
      <c r="H126" s="339"/>
      <c r="I126" s="339"/>
      <c r="J126" s="339"/>
      <c r="K126" s="340"/>
    </row>
    <row r="127" spans="1:14">
      <c r="A127" s="2">
        <v>46054</v>
      </c>
      <c r="B127" s="3" t="s">
        <v>169</v>
      </c>
      <c r="C127" s="32" t="s">
        <v>137</v>
      </c>
      <c r="D127" s="151"/>
      <c r="E127" s="181">
        <v>90</v>
      </c>
      <c r="F127" s="152">
        <f t="shared" si="14"/>
        <v>109.8</v>
      </c>
      <c r="G127" s="152" t="s">
        <v>222</v>
      </c>
      <c r="H127" s="156" t="s">
        <v>66</v>
      </c>
      <c r="I127" s="156" t="s">
        <v>66</v>
      </c>
      <c r="J127" s="245" t="s">
        <v>234</v>
      </c>
      <c r="K127" s="248"/>
    </row>
    <row r="128" spans="1:14">
      <c r="A128" s="2">
        <v>46055</v>
      </c>
      <c r="B128" s="3" t="s">
        <v>169</v>
      </c>
      <c r="C128" s="32" t="s">
        <v>88</v>
      </c>
      <c r="D128" s="151"/>
      <c r="E128" s="181">
        <v>128</v>
      </c>
      <c r="F128" s="152">
        <f t="shared" si="14"/>
        <v>156.16</v>
      </c>
      <c r="G128" s="152" t="s">
        <v>222</v>
      </c>
      <c r="H128" s="156" t="s">
        <v>66</v>
      </c>
      <c r="I128" s="156" t="s">
        <v>66</v>
      </c>
      <c r="J128" s="245" t="s">
        <v>235</v>
      </c>
      <c r="K128" s="245" t="s">
        <v>443</v>
      </c>
    </row>
    <row r="129" spans="1:12">
      <c r="A129" s="2">
        <v>46056</v>
      </c>
      <c r="B129" s="3" t="s">
        <v>169</v>
      </c>
      <c r="C129" s="32" t="s">
        <v>127</v>
      </c>
      <c r="D129" s="151"/>
      <c r="E129" s="181">
        <v>128</v>
      </c>
      <c r="F129" s="152">
        <f t="shared" si="14"/>
        <v>156.16</v>
      </c>
      <c r="G129" s="152" t="s">
        <v>222</v>
      </c>
      <c r="H129" s="156" t="s">
        <v>66</v>
      </c>
      <c r="I129" s="156" t="s">
        <v>66</v>
      </c>
      <c r="J129" s="245" t="s">
        <v>236</v>
      </c>
      <c r="K129" s="245" t="s">
        <v>444</v>
      </c>
    </row>
    <row r="130" spans="1:12">
      <c r="A130" s="2">
        <v>46057</v>
      </c>
      <c r="B130" s="3" t="s">
        <v>169</v>
      </c>
      <c r="C130" s="32" t="s">
        <v>155</v>
      </c>
      <c r="D130" s="151"/>
      <c r="E130" s="181">
        <v>90</v>
      </c>
      <c r="F130" s="152">
        <f t="shared" si="14"/>
        <v>109.8</v>
      </c>
      <c r="G130" s="152" t="s">
        <v>222</v>
      </c>
      <c r="H130" s="156" t="s">
        <v>66</v>
      </c>
      <c r="I130" s="156" t="s">
        <v>66</v>
      </c>
      <c r="J130" s="250" t="s">
        <v>237</v>
      </c>
      <c r="K130" s="249"/>
      <c r="L130" s="190"/>
    </row>
    <row r="131" spans="1:12" ht="13.5" customHeight="1">
      <c r="A131" s="2">
        <v>46054</v>
      </c>
      <c r="B131" s="3" t="s">
        <v>171</v>
      </c>
      <c r="C131" s="32" t="s">
        <v>137</v>
      </c>
      <c r="D131" s="148"/>
      <c r="E131" s="155">
        <v>60</v>
      </c>
      <c r="F131" s="149">
        <f>E131+((E131*22)/100)</f>
        <v>73.2</v>
      </c>
      <c r="G131" s="149" t="s">
        <v>222</v>
      </c>
      <c r="H131" s="150" t="s">
        <v>66</v>
      </c>
      <c r="I131" s="150"/>
      <c r="J131" s="350"/>
      <c r="K131" s="344"/>
      <c r="L131" s="6" t="s">
        <v>479</v>
      </c>
    </row>
    <row r="132" spans="1:12" s="36" customFormat="1" ht="13.2" hidden="1">
      <c r="A132" s="39">
        <v>46055</v>
      </c>
      <c r="B132" s="56"/>
      <c r="C132" s="45"/>
      <c r="D132" s="46"/>
      <c r="E132" s="47">
        <f>+E128+E129</f>
        <v>256</v>
      </c>
      <c r="F132" s="47">
        <f t="shared" si="14"/>
        <v>312.32</v>
      </c>
      <c r="G132" s="47"/>
      <c r="H132" s="48"/>
      <c r="I132" s="48"/>
      <c r="J132" s="246"/>
      <c r="K132" s="246"/>
    </row>
    <row r="133" spans="1:12" s="36" customFormat="1" ht="13.2" hidden="1">
      <c r="A133" s="39">
        <v>46056</v>
      </c>
      <c r="B133" s="56"/>
      <c r="C133" s="45"/>
      <c r="D133" s="46"/>
      <c r="E133" s="47" t="e">
        <f>+E130+#REF!</f>
        <v>#REF!</v>
      </c>
      <c r="F133" s="47" t="e">
        <f t="shared" si="14"/>
        <v>#REF!</v>
      </c>
      <c r="G133" s="47"/>
      <c r="H133" s="48"/>
      <c r="I133" s="48"/>
      <c r="J133" s="246"/>
      <c r="K133" s="246"/>
    </row>
    <row r="134" spans="1:12" s="36" customFormat="1" ht="13.2" hidden="1">
      <c r="A134" s="39">
        <v>46056</v>
      </c>
      <c r="B134" s="56"/>
      <c r="C134" s="45"/>
      <c r="D134" s="46"/>
      <c r="E134" s="47">
        <f>+E127+E131</f>
        <v>150</v>
      </c>
      <c r="F134" s="47">
        <f t="shared" si="14"/>
        <v>183</v>
      </c>
      <c r="G134" s="47"/>
      <c r="H134" s="48"/>
      <c r="I134" s="48"/>
      <c r="J134" s="246"/>
      <c r="K134" s="246"/>
    </row>
    <row r="135" spans="1:12" s="1" customFormat="1" ht="15.6">
      <c r="A135" s="39">
        <v>46058</v>
      </c>
      <c r="B135" s="50"/>
      <c r="C135" s="49"/>
      <c r="D135" s="216"/>
      <c r="E135" s="38">
        <f>SUM(E127:E131)</f>
        <v>496</v>
      </c>
      <c r="F135" s="38">
        <f t="shared" si="14"/>
        <v>605.12</v>
      </c>
      <c r="G135" s="338"/>
      <c r="H135" s="339"/>
      <c r="I135" s="339"/>
      <c r="J135" s="339"/>
      <c r="K135" s="340"/>
    </row>
    <row r="136" spans="1:12">
      <c r="A136" s="2">
        <v>46082</v>
      </c>
      <c r="B136" s="3" t="s">
        <v>169</v>
      </c>
      <c r="C136" s="32" t="s">
        <v>88</v>
      </c>
      <c r="D136" s="151"/>
      <c r="E136" s="181">
        <v>128</v>
      </c>
      <c r="F136" s="181">
        <f t="shared" si="14"/>
        <v>156.16</v>
      </c>
      <c r="G136" s="181" t="s">
        <v>222</v>
      </c>
      <c r="H136" s="156" t="s">
        <v>66</v>
      </c>
      <c r="I136" s="156" t="s">
        <v>66</v>
      </c>
      <c r="J136" s="245" t="s">
        <v>437</v>
      </c>
      <c r="K136" s="245" t="s">
        <v>459</v>
      </c>
    </row>
    <row r="137" spans="1:12">
      <c r="A137" s="2">
        <v>46083</v>
      </c>
      <c r="B137" s="3" t="s">
        <v>169</v>
      </c>
      <c r="C137" s="32" t="s">
        <v>127</v>
      </c>
      <c r="D137" s="151"/>
      <c r="E137" s="181">
        <v>128</v>
      </c>
      <c r="F137" s="181">
        <f t="shared" si="14"/>
        <v>156.16</v>
      </c>
      <c r="G137" s="181" t="s">
        <v>222</v>
      </c>
      <c r="H137" s="156" t="s">
        <v>66</v>
      </c>
      <c r="I137" s="156"/>
      <c r="J137" s="245" t="s">
        <v>238</v>
      </c>
      <c r="K137" s="245" t="s">
        <v>445</v>
      </c>
    </row>
    <row r="138" spans="1:12">
      <c r="A138" s="2">
        <v>46084</v>
      </c>
      <c r="B138" s="3" t="s">
        <v>169</v>
      </c>
      <c r="C138" s="32" t="s">
        <v>138</v>
      </c>
      <c r="D138" s="151"/>
      <c r="E138" s="152">
        <v>90</v>
      </c>
      <c r="F138" s="181">
        <f>E138+((E138*22)/100)</f>
        <v>109.8</v>
      </c>
      <c r="G138" s="181" t="s">
        <v>222</v>
      </c>
      <c r="H138" s="156" t="s">
        <v>66</v>
      </c>
      <c r="I138" s="156" t="s">
        <v>66</v>
      </c>
      <c r="J138" s="250" t="s">
        <v>239</v>
      </c>
      <c r="K138" s="249"/>
      <c r="L138" s="190"/>
    </row>
    <row r="139" spans="1:12" ht="13.5" customHeight="1">
      <c r="A139" s="268">
        <v>46084</v>
      </c>
      <c r="B139" s="269" t="s">
        <v>449</v>
      </c>
      <c r="C139" s="270" t="s">
        <v>450</v>
      </c>
      <c r="D139" s="301"/>
      <c r="E139" s="282"/>
      <c r="F139" s="302"/>
      <c r="G139" s="335" t="s">
        <v>452</v>
      </c>
      <c r="H139" s="336"/>
      <c r="I139" s="336"/>
      <c r="J139" s="337"/>
      <c r="K139" s="245" t="s">
        <v>451</v>
      </c>
      <c r="L139" s="190"/>
    </row>
    <row r="140" spans="1:12">
      <c r="A140" s="2">
        <v>46085</v>
      </c>
      <c r="B140" s="3" t="s">
        <v>431</v>
      </c>
      <c r="C140" s="32" t="s">
        <v>106</v>
      </c>
      <c r="D140" s="151"/>
      <c r="E140" s="152">
        <v>65</v>
      </c>
      <c r="F140" s="181">
        <f t="shared" ref="F140" si="16">E140+((E140*22)/100)</f>
        <v>79.3</v>
      </c>
      <c r="G140" s="181" t="s">
        <v>222</v>
      </c>
      <c r="H140" s="156" t="s">
        <v>66</v>
      </c>
      <c r="I140" s="156" t="s">
        <v>66</v>
      </c>
      <c r="J140" s="345"/>
      <c r="K140" s="349"/>
    </row>
    <row r="141" spans="1:12">
      <c r="A141" s="2">
        <v>46086</v>
      </c>
      <c r="B141" s="3" t="s">
        <v>431</v>
      </c>
      <c r="C141" s="32" t="s">
        <v>117</v>
      </c>
      <c r="D141" s="151"/>
      <c r="E141" s="152">
        <v>65</v>
      </c>
      <c r="F141" s="181">
        <f t="shared" ref="F141:F145" si="17">E141+((E141*22)/100)</f>
        <v>79.3</v>
      </c>
      <c r="G141" s="181" t="s">
        <v>222</v>
      </c>
      <c r="H141" s="156" t="s">
        <v>66</v>
      </c>
      <c r="I141" s="156" t="s">
        <v>66</v>
      </c>
      <c r="J141" s="346"/>
      <c r="K141" s="343"/>
    </row>
    <row r="142" spans="1:12">
      <c r="A142" s="2">
        <v>46087</v>
      </c>
      <c r="B142" s="3" t="s">
        <v>431</v>
      </c>
      <c r="C142" s="32" t="s">
        <v>138</v>
      </c>
      <c r="D142" s="148"/>
      <c r="E142" s="149">
        <v>65</v>
      </c>
      <c r="F142" s="155">
        <f t="shared" si="17"/>
        <v>79.3</v>
      </c>
      <c r="G142" s="155" t="s">
        <v>222</v>
      </c>
      <c r="H142" s="150" t="s">
        <v>66</v>
      </c>
      <c r="I142" s="150"/>
      <c r="J142" s="346"/>
      <c r="K142" s="343"/>
    </row>
    <row r="143" spans="1:12">
      <c r="A143" s="2">
        <v>46088</v>
      </c>
      <c r="B143" s="3" t="s">
        <v>431</v>
      </c>
      <c r="C143" s="32" t="s">
        <v>140</v>
      </c>
      <c r="D143" s="148"/>
      <c r="E143" s="149">
        <v>65</v>
      </c>
      <c r="F143" s="155">
        <f t="shared" si="17"/>
        <v>79.3</v>
      </c>
      <c r="G143" s="155" t="s">
        <v>222</v>
      </c>
      <c r="H143" s="150" t="s">
        <v>66</v>
      </c>
      <c r="I143" s="150"/>
      <c r="J143" s="346"/>
      <c r="K143" s="343"/>
    </row>
    <row r="144" spans="1:12">
      <c r="A144" s="2">
        <v>46089</v>
      </c>
      <c r="B144" s="3" t="s">
        <v>431</v>
      </c>
      <c r="C144" s="32" t="s">
        <v>146</v>
      </c>
      <c r="D144" s="148"/>
      <c r="E144" s="149">
        <v>65</v>
      </c>
      <c r="F144" s="155">
        <f t="shared" si="17"/>
        <v>79.3</v>
      </c>
      <c r="G144" s="155" t="s">
        <v>222</v>
      </c>
      <c r="H144" s="150" t="s">
        <v>66</v>
      </c>
      <c r="I144" s="150"/>
      <c r="J144" s="346"/>
      <c r="K144" s="343"/>
    </row>
    <row r="145" spans="1:11">
      <c r="A145" s="2">
        <v>46090</v>
      </c>
      <c r="B145" s="3" t="s">
        <v>432</v>
      </c>
      <c r="C145" s="32" t="s">
        <v>137</v>
      </c>
      <c r="D145" s="148"/>
      <c r="E145" s="149">
        <v>250</v>
      </c>
      <c r="F145" s="155">
        <f t="shared" si="17"/>
        <v>305</v>
      </c>
      <c r="G145" s="155" t="s">
        <v>222</v>
      </c>
      <c r="H145" s="150" t="s">
        <v>66</v>
      </c>
      <c r="I145" s="150"/>
      <c r="J145" s="346"/>
      <c r="K145" s="343"/>
    </row>
    <row r="146" spans="1:11">
      <c r="A146" s="2">
        <v>46090</v>
      </c>
      <c r="B146" s="3" t="s">
        <v>432</v>
      </c>
      <c r="C146" s="32" t="s">
        <v>138</v>
      </c>
      <c r="D146" s="151"/>
      <c r="E146" s="152">
        <v>250</v>
      </c>
      <c r="F146" s="181">
        <f t="shared" ref="F146" si="18">E146+((E146*22)/100)</f>
        <v>305</v>
      </c>
      <c r="G146" s="181" t="s">
        <v>222</v>
      </c>
      <c r="H146" s="156" t="s">
        <v>66</v>
      </c>
      <c r="I146" s="156" t="s">
        <v>66</v>
      </c>
      <c r="J146" s="346"/>
      <c r="K146" s="343"/>
    </row>
    <row r="147" spans="1:11">
      <c r="A147" s="2">
        <v>46086</v>
      </c>
      <c r="B147" s="3" t="s">
        <v>171</v>
      </c>
      <c r="C147" s="32" t="s">
        <v>197</v>
      </c>
      <c r="D147" s="151"/>
      <c r="E147" s="181"/>
      <c r="F147" s="181"/>
      <c r="G147" s="282"/>
      <c r="H147" s="283"/>
      <c r="I147" s="156" t="s">
        <v>66</v>
      </c>
      <c r="J147" s="346"/>
      <c r="K147" s="343"/>
    </row>
    <row r="148" spans="1:11">
      <c r="A148" s="2">
        <v>46085</v>
      </c>
      <c r="B148" s="3" t="s">
        <v>171</v>
      </c>
      <c r="C148" s="32" t="s">
        <v>88</v>
      </c>
      <c r="D148" s="148"/>
      <c r="E148" s="155">
        <v>60</v>
      </c>
      <c r="F148" s="155">
        <f t="shared" si="14"/>
        <v>73.2</v>
      </c>
      <c r="G148" s="155" t="s">
        <v>222</v>
      </c>
      <c r="H148" s="150" t="s">
        <v>66</v>
      </c>
      <c r="I148" s="150"/>
      <c r="J148" s="346"/>
      <c r="K148" s="343"/>
    </row>
    <row r="149" spans="1:11">
      <c r="A149" s="2">
        <v>46086</v>
      </c>
      <c r="B149" s="3" t="s">
        <v>171</v>
      </c>
      <c r="C149" s="32" t="s">
        <v>197</v>
      </c>
      <c r="D149" s="151"/>
      <c r="E149" s="181">
        <v>60</v>
      </c>
      <c r="F149" s="181">
        <f>E149+((E149*22)/100)</f>
        <v>73.2</v>
      </c>
      <c r="G149" s="181" t="s">
        <v>222</v>
      </c>
      <c r="H149" s="156" t="s">
        <v>66</v>
      </c>
      <c r="I149" s="156" t="s">
        <v>66</v>
      </c>
      <c r="J149" s="346"/>
      <c r="K149" s="343"/>
    </row>
    <row r="150" spans="1:11">
      <c r="A150" s="2">
        <v>46087</v>
      </c>
      <c r="B150" s="3" t="s">
        <v>171</v>
      </c>
      <c r="C150" s="32" t="s">
        <v>138</v>
      </c>
      <c r="D150" s="151"/>
      <c r="E150" s="152">
        <v>60</v>
      </c>
      <c r="F150" s="181">
        <f>E150+((E150*22)/100)</f>
        <v>73.2</v>
      </c>
      <c r="G150" s="181" t="s">
        <v>222</v>
      </c>
      <c r="H150" s="156" t="s">
        <v>66</v>
      </c>
      <c r="I150" s="156" t="s">
        <v>66</v>
      </c>
      <c r="J150" s="347"/>
      <c r="K150" s="344"/>
    </row>
    <row r="151" spans="1:11" s="36" customFormat="1" ht="13.2" hidden="1">
      <c r="A151" s="39">
        <v>46089</v>
      </c>
      <c r="B151" s="56"/>
      <c r="C151" s="45"/>
      <c r="D151" s="46"/>
      <c r="E151" s="47">
        <f>+E149</f>
        <v>60</v>
      </c>
      <c r="F151" s="47">
        <f t="shared" ref="F151:F155" si="19">E151+((E151*22)/100)</f>
        <v>73.2</v>
      </c>
      <c r="G151" s="47"/>
      <c r="H151" s="48"/>
      <c r="I151" s="48"/>
      <c r="J151" s="246"/>
      <c r="K151" s="246"/>
    </row>
    <row r="152" spans="1:11" s="36" customFormat="1" ht="13.2" hidden="1">
      <c r="A152" s="39">
        <v>46090</v>
      </c>
      <c r="B152" s="56"/>
      <c r="C152" s="45"/>
      <c r="D152" s="46"/>
      <c r="E152" s="47">
        <f>+E136+E148</f>
        <v>188</v>
      </c>
      <c r="F152" s="47">
        <f t="shared" si="19"/>
        <v>229.36</v>
      </c>
      <c r="G152" s="47"/>
      <c r="H152" s="48"/>
      <c r="I152" s="48"/>
      <c r="J152" s="246"/>
      <c r="K152" s="246"/>
    </row>
    <row r="153" spans="1:11" s="36" customFormat="1" ht="13.2" hidden="1">
      <c r="A153" s="39">
        <v>46091</v>
      </c>
      <c r="B153" s="56"/>
      <c r="C153" s="45"/>
      <c r="D153" s="46"/>
      <c r="E153" s="47">
        <f>+E138+E150</f>
        <v>150</v>
      </c>
      <c r="F153" s="47">
        <f>E153+((E153*22)/100)</f>
        <v>183</v>
      </c>
      <c r="G153" s="47"/>
      <c r="H153" s="48"/>
      <c r="I153" s="48"/>
      <c r="J153" s="246"/>
      <c r="K153" s="246"/>
    </row>
    <row r="154" spans="1:11" s="36" customFormat="1" ht="13.2" hidden="1">
      <c r="A154" s="39">
        <v>46091</v>
      </c>
      <c r="B154" s="56"/>
      <c r="C154" s="45"/>
      <c r="D154" s="46"/>
      <c r="E154" s="47">
        <f>+E137</f>
        <v>128</v>
      </c>
      <c r="F154" s="47">
        <f t="shared" si="19"/>
        <v>156.16</v>
      </c>
      <c r="G154" s="47"/>
      <c r="H154" s="48"/>
      <c r="I154" s="48"/>
      <c r="J154" s="246"/>
      <c r="K154" s="246"/>
    </row>
    <row r="155" spans="1:11" s="1" customFormat="1" ht="15.6">
      <c r="A155" s="39">
        <v>46093</v>
      </c>
      <c r="B155" s="50"/>
      <c r="C155" s="49"/>
      <c r="D155" s="216"/>
      <c r="E155" s="38">
        <f>SUM(E136:E150)</f>
        <v>1351</v>
      </c>
      <c r="F155" s="38">
        <f t="shared" si="19"/>
        <v>1648.22</v>
      </c>
      <c r="G155" s="338"/>
      <c r="H155" s="339"/>
      <c r="I155" s="339"/>
      <c r="J155" s="339"/>
      <c r="K155" s="340"/>
    </row>
    <row r="156" spans="1:11">
      <c r="A156" s="2">
        <v>46113</v>
      </c>
      <c r="B156" s="3" t="s">
        <v>169</v>
      </c>
      <c r="C156" s="32" t="s">
        <v>110</v>
      </c>
      <c r="D156" s="148"/>
      <c r="E156" s="155">
        <v>128</v>
      </c>
      <c r="F156" s="155">
        <f t="shared" si="14"/>
        <v>156.16</v>
      </c>
      <c r="G156" s="155" t="s">
        <v>222</v>
      </c>
      <c r="H156" s="150" t="s">
        <v>66</v>
      </c>
      <c r="I156" s="150"/>
      <c r="J156" s="304" t="s">
        <v>530</v>
      </c>
      <c r="K156" s="304"/>
    </row>
    <row r="157" spans="1:11">
      <c r="A157" s="2">
        <v>46113</v>
      </c>
      <c r="B157" s="3" t="s">
        <v>169</v>
      </c>
      <c r="C157" s="32" t="s">
        <v>99</v>
      </c>
      <c r="D157" s="151"/>
      <c r="E157" s="181">
        <v>128</v>
      </c>
      <c r="F157" s="181">
        <f t="shared" si="14"/>
        <v>156.16</v>
      </c>
      <c r="G157" s="181" t="s">
        <v>222</v>
      </c>
      <c r="H157" s="156" t="s">
        <v>66</v>
      </c>
      <c r="I157" s="156"/>
      <c r="J157" s="245" t="s">
        <v>485</v>
      </c>
      <c r="K157" s="245" t="s">
        <v>486</v>
      </c>
    </row>
    <row r="158" spans="1:11">
      <c r="A158" s="2">
        <v>46119</v>
      </c>
      <c r="B158" s="3" t="s">
        <v>169</v>
      </c>
      <c r="C158" s="32" t="s">
        <v>61</v>
      </c>
      <c r="D158" s="151"/>
      <c r="E158" s="152">
        <v>90</v>
      </c>
      <c r="F158" s="306">
        <f t="shared" ref="F158" si="20">E158+((E158*22)/100)</f>
        <v>109.8</v>
      </c>
      <c r="G158" s="181" t="s">
        <v>222</v>
      </c>
      <c r="H158" s="156" t="s">
        <v>66</v>
      </c>
      <c r="I158" s="156"/>
      <c r="J158" s="245" t="s">
        <v>483</v>
      </c>
      <c r="K158" s="245"/>
    </row>
    <row r="159" spans="1:11">
      <c r="A159" s="2">
        <v>46122</v>
      </c>
      <c r="B159" s="3" t="s">
        <v>169</v>
      </c>
      <c r="C159" s="32" t="s">
        <v>197</v>
      </c>
      <c r="D159" s="151"/>
      <c r="E159" s="152">
        <v>90</v>
      </c>
      <c r="F159" s="181">
        <f>E159+((E159*22)/100)</f>
        <v>109.8</v>
      </c>
      <c r="G159" s="181" t="s">
        <v>222</v>
      </c>
      <c r="H159" s="156" t="s">
        <v>66</v>
      </c>
      <c r="I159" s="156"/>
      <c r="J159" s="245" t="s">
        <v>482</v>
      </c>
      <c r="K159" s="245"/>
    </row>
    <row r="160" spans="1:11">
      <c r="A160" s="2">
        <v>46122</v>
      </c>
      <c r="B160" s="3" t="s">
        <v>169</v>
      </c>
      <c r="C160" s="32" t="s">
        <v>117</v>
      </c>
      <c r="D160" s="171"/>
      <c r="E160" s="172">
        <v>128</v>
      </c>
      <c r="F160" s="172">
        <f t="shared" ref="F160:F165" si="21">E160+((E160*22)/100)</f>
        <v>156.16</v>
      </c>
      <c r="G160" s="173" t="s">
        <v>69</v>
      </c>
      <c r="H160" s="173" t="s">
        <v>69</v>
      </c>
      <c r="I160" s="25"/>
      <c r="J160" s="178"/>
      <c r="K160" s="178"/>
    </row>
    <row r="161" spans="1:12" ht="13.5" customHeight="1">
      <c r="A161" s="268">
        <v>46122</v>
      </c>
      <c r="B161" s="269" t="s">
        <v>488</v>
      </c>
      <c r="C161" s="270" t="s">
        <v>450</v>
      </c>
      <c r="D161" s="307"/>
      <c r="E161" s="308"/>
      <c r="F161" s="309"/>
      <c r="G161" s="351" t="s">
        <v>452</v>
      </c>
      <c r="H161" s="352"/>
      <c r="I161" s="352"/>
      <c r="J161" s="353"/>
      <c r="K161" s="310">
        <v>46139</v>
      </c>
      <c r="L161" s="190"/>
    </row>
    <row r="162" spans="1:12">
      <c r="A162" s="2">
        <v>46123</v>
      </c>
      <c r="B162" s="3" t="s">
        <v>431</v>
      </c>
      <c r="C162" s="32" t="s">
        <v>155</v>
      </c>
      <c r="D162" s="4"/>
      <c r="E162" s="5">
        <v>65</v>
      </c>
      <c r="F162" s="11">
        <f t="shared" si="21"/>
        <v>79.3</v>
      </c>
      <c r="G162" s="155" t="s">
        <v>222</v>
      </c>
      <c r="H162" s="150" t="s">
        <v>66</v>
      </c>
      <c r="I162" s="25"/>
      <c r="J162" s="178"/>
      <c r="K162" s="178"/>
    </row>
    <row r="163" spans="1:12">
      <c r="A163" s="2">
        <v>46123</v>
      </c>
      <c r="B163" s="3" t="s">
        <v>432</v>
      </c>
      <c r="C163" s="32" t="s">
        <v>129</v>
      </c>
      <c r="D163" s="4"/>
      <c r="E163" s="5">
        <v>250</v>
      </c>
      <c r="F163" s="11">
        <f t="shared" ref="F163" si="22">E163+((E163*22)/100)</f>
        <v>305</v>
      </c>
      <c r="G163" s="155" t="s">
        <v>222</v>
      </c>
      <c r="H163" s="150" t="s">
        <v>66</v>
      </c>
      <c r="I163" s="25"/>
      <c r="J163" s="178"/>
      <c r="K163" s="178"/>
    </row>
    <row r="164" spans="1:12">
      <c r="A164" s="2">
        <v>46123</v>
      </c>
      <c r="B164" s="3" t="s">
        <v>432</v>
      </c>
      <c r="C164" s="32" t="s">
        <v>75</v>
      </c>
      <c r="D164" s="4"/>
      <c r="E164" s="5">
        <v>250</v>
      </c>
      <c r="F164" s="11">
        <f t="shared" ref="F164" si="23">E164+((E164*22)/100)</f>
        <v>305</v>
      </c>
      <c r="G164" s="155" t="s">
        <v>222</v>
      </c>
      <c r="H164" s="150" t="s">
        <v>66</v>
      </c>
      <c r="I164" s="25"/>
      <c r="J164" s="178"/>
      <c r="K164" s="178"/>
    </row>
    <row r="165" spans="1:12">
      <c r="A165" s="2">
        <v>46123</v>
      </c>
      <c r="B165" s="3" t="s">
        <v>171</v>
      </c>
      <c r="C165" s="32" t="s">
        <v>197</v>
      </c>
      <c r="D165" s="4"/>
      <c r="E165" s="5">
        <v>60</v>
      </c>
      <c r="F165" s="11">
        <f t="shared" si="21"/>
        <v>73.2</v>
      </c>
      <c r="G165" s="155" t="s">
        <v>222</v>
      </c>
      <c r="H165" s="150" t="s">
        <v>66</v>
      </c>
      <c r="I165" s="25"/>
      <c r="J165" s="178"/>
      <c r="K165" s="178"/>
    </row>
    <row r="166" spans="1:12">
      <c r="A166" s="2">
        <v>46113</v>
      </c>
      <c r="B166" s="3" t="s">
        <v>171</v>
      </c>
      <c r="C166" s="32" t="s">
        <v>110</v>
      </c>
      <c r="D166" s="4"/>
      <c r="E166" s="5">
        <f>60*2</f>
        <v>120</v>
      </c>
      <c r="F166" s="11">
        <f t="shared" si="14"/>
        <v>146.4</v>
      </c>
      <c r="G166" s="155" t="s">
        <v>222</v>
      </c>
      <c r="H166" s="150" t="s">
        <v>66</v>
      </c>
      <c r="I166" s="25"/>
      <c r="J166" s="178"/>
      <c r="K166" s="178"/>
    </row>
    <row r="167" spans="1:12">
      <c r="A167" s="2">
        <v>46113</v>
      </c>
      <c r="B167" s="3" t="s">
        <v>171</v>
      </c>
      <c r="C167" s="32" t="s">
        <v>99</v>
      </c>
      <c r="D167" s="4"/>
      <c r="E167" s="5">
        <v>120</v>
      </c>
      <c r="F167" s="11">
        <f t="shared" si="14"/>
        <v>146.4</v>
      </c>
      <c r="G167" s="155" t="s">
        <v>222</v>
      </c>
      <c r="H167" s="150" t="s">
        <v>66</v>
      </c>
      <c r="I167" s="25"/>
      <c r="J167" s="178"/>
      <c r="K167" s="178"/>
    </row>
    <row r="168" spans="1:12">
      <c r="A168" s="2">
        <v>46119</v>
      </c>
      <c r="B168" s="3" t="s">
        <v>171</v>
      </c>
      <c r="C168" s="32" t="s">
        <v>61</v>
      </c>
      <c r="D168" s="4"/>
      <c r="E168" s="5">
        <v>120</v>
      </c>
      <c r="F168" s="11">
        <f t="shared" ref="F168" si="24">E168+((E168*22)/100)</f>
        <v>146.4</v>
      </c>
      <c r="G168" s="155" t="s">
        <v>222</v>
      </c>
      <c r="H168" s="150" t="s">
        <v>66</v>
      </c>
      <c r="I168" s="25"/>
      <c r="J168" s="178"/>
      <c r="K168" s="178"/>
    </row>
    <row r="169" spans="1:12">
      <c r="A169" s="2">
        <v>46113</v>
      </c>
      <c r="B169" s="3" t="s">
        <v>172</v>
      </c>
      <c r="C169" s="32" t="s">
        <v>110</v>
      </c>
      <c r="D169" s="4"/>
      <c r="E169" s="5">
        <v>65</v>
      </c>
      <c r="F169" s="11">
        <f t="shared" si="14"/>
        <v>79.3</v>
      </c>
      <c r="G169" s="155" t="s">
        <v>222</v>
      </c>
      <c r="H169" s="25"/>
      <c r="I169" s="25"/>
      <c r="J169" s="178"/>
      <c r="K169" s="178"/>
    </row>
    <row r="170" spans="1:12">
      <c r="A170" s="2">
        <v>46115</v>
      </c>
      <c r="B170" s="3" t="s">
        <v>172</v>
      </c>
      <c r="C170" s="32" t="s">
        <v>99</v>
      </c>
      <c r="D170" s="4"/>
      <c r="E170" s="5">
        <v>65</v>
      </c>
      <c r="F170" s="11">
        <f t="shared" si="14"/>
        <v>79.3</v>
      </c>
      <c r="G170" s="155" t="s">
        <v>222</v>
      </c>
      <c r="H170" s="25"/>
      <c r="I170" s="25"/>
      <c r="J170" s="178"/>
      <c r="K170" s="178"/>
    </row>
    <row r="171" spans="1:12" s="36" customFormat="1" ht="13.2" hidden="1">
      <c r="A171" s="2">
        <v>46116</v>
      </c>
      <c r="B171" s="56"/>
      <c r="C171" s="45"/>
      <c r="D171" s="46"/>
      <c r="E171" s="47" t="e">
        <f>E156+#REF!+#REF!+E166+E169</f>
        <v>#REF!</v>
      </c>
      <c r="F171" s="47" t="e">
        <f t="shared" ref="F171:F194" si="25">E171+((E171*22)/100)</f>
        <v>#REF!</v>
      </c>
      <c r="G171" s="47"/>
      <c r="H171" s="48"/>
      <c r="I171" s="48"/>
      <c r="J171" s="246"/>
      <c r="K171" s="246"/>
    </row>
    <row r="172" spans="1:12" s="36" customFormat="1" ht="13.2" hidden="1">
      <c r="A172" s="2">
        <v>46117</v>
      </c>
      <c r="B172" s="56"/>
      <c r="C172" s="45"/>
      <c r="D172" s="46"/>
      <c r="E172" s="47">
        <f>+E157+E167+E170</f>
        <v>313</v>
      </c>
      <c r="F172" s="47">
        <f t="shared" ref="F172" si="26">E172+((E172*22)/100)</f>
        <v>381.86</v>
      </c>
      <c r="G172" s="47"/>
      <c r="H172" s="48"/>
      <c r="I172" s="48"/>
      <c r="J172" s="246"/>
      <c r="K172" s="246"/>
    </row>
    <row r="173" spans="1:12" s="36" customFormat="1" ht="13.2" hidden="1">
      <c r="A173" s="2">
        <v>46118</v>
      </c>
      <c r="B173" s="56"/>
      <c r="C173" s="45"/>
      <c r="D173" s="46"/>
      <c r="E173" s="47" t="e">
        <f>+#REF!+#REF!</f>
        <v>#REF!</v>
      </c>
      <c r="F173" s="47" t="e">
        <f t="shared" si="25"/>
        <v>#REF!</v>
      </c>
      <c r="G173" s="47"/>
      <c r="H173" s="48"/>
      <c r="I173" s="48"/>
      <c r="J173" s="246"/>
      <c r="K173" s="246"/>
    </row>
    <row r="174" spans="1:12" s="36" customFormat="1" ht="13.2" hidden="1">
      <c r="A174" s="2">
        <v>46119</v>
      </c>
      <c r="B174" s="56"/>
      <c r="C174" s="45"/>
      <c r="D174" s="46"/>
      <c r="E174" s="47" t="e">
        <f>+#REF!+E165</f>
        <v>#REF!</v>
      </c>
      <c r="F174" s="47" t="e">
        <f t="shared" si="25"/>
        <v>#REF!</v>
      </c>
      <c r="G174" s="47"/>
      <c r="H174" s="48"/>
      <c r="I174" s="48"/>
      <c r="J174" s="246"/>
      <c r="K174" s="246"/>
    </row>
    <row r="175" spans="1:12" s="36" customFormat="1" ht="13.2" hidden="1">
      <c r="A175" s="2">
        <v>46126</v>
      </c>
      <c r="B175" s="56"/>
      <c r="C175" s="57"/>
      <c r="D175" s="46"/>
      <c r="E175" s="47" t="e">
        <f>#REF!+#REF!+#REF!</f>
        <v>#REF!</v>
      </c>
      <c r="F175" s="47" t="e">
        <f t="shared" si="25"/>
        <v>#REF!</v>
      </c>
      <c r="G175" s="47"/>
      <c r="H175" s="48"/>
      <c r="I175" s="48"/>
      <c r="J175" s="246"/>
      <c r="K175" s="246"/>
    </row>
    <row r="176" spans="1:12" s="1" customFormat="1" ht="15.6">
      <c r="A176" s="39">
        <v>46118</v>
      </c>
      <c r="B176" s="50"/>
      <c r="C176" s="49"/>
      <c r="D176" s="216"/>
      <c r="E176" s="38">
        <f>SUM(E156:E170)</f>
        <v>1679</v>
      </c>
      <c r="F176" s="38">
        <f t="shared" si="25"/>
        <v>2048.38</v>
      </c>
      <c r="G176" s="338"/>
      <c r="H176" s="339"/>
      <c r="I176" s="339"/>
      <c r="J176" s="339"/>
      <c r="K176" s="340"/>
    </row>
    <row r="177" spans="1:11">
      <c r="A177" s="2">
        <v>46144</v>
      </c>
      <c r="B177" s="3" t="s">
        <v>169</v>
      </c>
      <c r="C177" s="32" t="s">
        <v>197</v>
      </c>
      <c r="D177" s="4"/>
      <c r="E177" s="5">
        <v>90</v>
      </c>
      <c r="F177" s="11">
        <f t="shared" ref="F177:F188" si="27">E177+((E177*22)/100)</f>
        <v>109.8</v>
      </c>
      <c r="G177" s="11"/>
      <c r="H177" s="25"/>
      <c r="I177" s="25"/>
      <c r="J177" s="178"/>
      <c r="K177" s="178"/>
    </row>
    <row r="178" spans="1:11">
      <c r="A178" s="2">
        <v>46144</v>
      </c>
      <c r="B178" s="3" t="s">
        <v>169</v>
      </c>
      <c r="C178" s="32" t="s">
        <v>137</v>
      </c>
      <c r="D178" s="4"/>
      <c r="E178" s="5">
        <v>90</v>
      </c>
      <c r="F178" s="11">
        <f t="shared" ref="F178" si="28">E178+((E178*22)/100)</f>
        <v>109.8</v>
      </c>
      <c r="G178" s="11"/>
      <c r="H178" s="25"/>
      <c r="I178" s="25"/>
      <c r="J178" s="178"/>
      <c r="K178" s="178"/>
    </row>
    <row r="179" spans="1:11">
      <c r="A179" s="2">
        <v>46147</v>
      </c>
      <c r="B179" s="3" t="s">
        <v>169</v>
      </c>
      <c r="C179" s="32" t="s">
        <v>61</v>
      </c>
      <c r="D179" s="4"/>
      <c r="E179" s="5">
        <v>90</v>
      </c>
      <c r="F179" s="11">
        <f t="shared" si="27"/>
        <v>109.8</v>
      </c>
      <c r="G179" s="11"/>
      <c r="H179" s="25"/>
      <c r="I179" s="25"/>
      <c r="J179" s="178"/>
      <c r="K179" s="178"/>
    </row>
    <row r="180" spans="1:11">
      <c r="A180" s="2">
        <v>46149</v>
      </c>
      <c r="B180" s="3" t="s">
        <v>169</v>
      </c>
      <c r="C180" s="32" t="s">
        <v>88</v>
      </c>
      <c r="D180" s="4"/>
      <c r="E180" s="5">
        <v>90</v>
      </c>
      <c r="F180" s="11">
        <f t="shared" si="27"/>
        <v>109.8</v>
      </c>
      <c r="G180" s="11"/>
      <c r="H180" s="25"/>
      <c r="I180" s="25"/>
      <c r="J180" s="178"/>
      <c r="K180" s="178"/>
    </row>
    <row r="181" spans="1:11">
      <c r="A181" s="2">
        <v>46150</v>
      </c>
      <c r="B181" s="3" t="s">
        <v>169</v>
      </c>
      <c r="C181" s="32" t="s">
        <v>88</v>
      </c>
      <c r="D181" s="4"/>
      <c r="E181" s="5">
        <v>90</v>
      </c>
      <c r="F181" s="11">
        <f t="shared" si="27"/>
        <v>109.8</v>
      </c>
      <c r="G181" s="11"/>
      <c r="H181" s="25"/>
      <c r="I181" s="25"/>
      <c r="J181" s="178"/>
      <c r="K181" s="178"/>
    </row>
    <row r="182" spans="1:11">
      <c r="A182" s="2">
        <v>46150</v>
      </c>
      <c r="B182" s="3" t="s">
        <v>169</v>
      </c>
      <c r="C182" s="32" t="s">
        <v>146</v>
      </c>
      <c r="D182" s="4"/>
      <c r="E182" s="11">
        <v>128</v>
      </c>
      <c r="F182" s="11">
        <f t="shared" si="27"/>
        <v>156.16</v>
      </c>
      <c r="G182" s="155" t="s">
        <v>241</v>
      </c>
      <c r="H182" s="25"/>
      <c r="I182" s="25"/>
      <c r="J182" s="178"/>
      <c r="K182" s="178"/>
    </row>
    <row r="183" spans="1:11">
      <c r="A183" s="2">
        <v>46150</v>
      </c>
      <c r="B183" s="3" t="s">
        <v>169</v>
      </c>
      <c r="C183" s="32" t="s">
        <v>129</v>
      </c>
      <c r="D183" s="4"/>
      <c r="E183" s="11">
        <v>128</v>
      </c>
      <c r="F183" s="11">
        <f t="shared" ref="F183:F184" si="29">E183+((E183*22)/100)</f>
        <v>156.16</v>
      </c>
      <c r="G183" s="11"/>
      <c r="H183" s="25"/>
      <c r="I183" s="25"/>
      <c r="J183" s="178"/>
      <c r="K183" s="178"/>
    </row>
    <row r="184" spans="1:11">
      <c r="A184" s="2">
        <v>46150</v>
      </c>
      <c r="B184" s="3" t="s">
        <v>362</v>
      </c>
      <c r="C184" s="32" t="s">
        <v>146</v>
      </c>
      <c r="D184" s="4"/>
      <c r="E184" s="11">
        <v>90</v>
      </c>
      <c r="F184" s="11">
        <f t="shared" si="29"/>
        <v>109.8</v>
      </c>
      <c r="G184" s="11"/>
      <c r="H184" s="25"/>
      <c r="I184" s="25"/>
      <c r="J184" s="178"/>
      <c r="K184" s="178"/>
    </row>
    <row r="185" spans="1:11">
      <c r="A185" s="2">
        <v>46150</v>
      </c>
      <c r="B185" s="3" t="s">
        <v>172</v>
      </c>
      <c r="C185" s="32" t="s">
        <v>146</v>
      </c>
      <c r="D185" s="4"/>
      <c r="E185" s="11">
        <v>65</v>
      </c>
      <c r="F185" s="11">
        <f>E185+((E185*22)/100)</f>
        <v>79.3</v>
      </c>
      <c r="G185" s="155" t="s">
        <v>241</v>
      </c>
      <c r="H185" s="25"/>
      <c r="I185" s="25"/>
      <c r="J185" s="178"/>
      <c r="K185" s="178"/>
    </row>
    <row r="186" spans="1:11">
      <c r="A186" s="2">
        <v>46154</v>
      </c>
      <c r="B186" s="3" t="s">
        <v>171</v>
      </c>
      <c r="C186" s="32" t="s">
        <v>88</v>
      </c>
      <c r="D186" s="4"/>
      <c r="E186" s="5">
        <v>60</v>
      </c>
      <c r="F186" s="11">
        <f t="shared" si="27"/>
        <v>73.2</v>
      </c>
      <c r="G186" s="11"/>
      <c r="H186" s="25"/>
      <c r="I186" s="25"/>
      <c r="J186" s="178"/>
      <c r="K186" s="178"/>
    </row>
    <row r="187" spans="1:11">
      <c r="A187" s="2">
        <v>46144</v>
      </c>
      <c r="B187" s="3" t="s">
        <v>171</v>
      </c>
      <c r="C187" s="32" t="s">
        <v>137</v>
      </c>
      <c r="D187" s="4"/>
      <c r="E187" s="5">
        <v>60</v>
      </c>
      <c r="F187" s="11">
        <f t="shared" ref="F187" si="30">E187+((E187*22)/100)</f>
        <v>73.2</v>
      </c>
      <c r="G187" s="11"/>
      <c r="H187" s="25"/>
      <c r="I187" s="25"/>
      <c r="J187" s="178"/>
      <c r="K187" s="178"/>
    </row>
    <row r="188" spans="1:11">
      <c r="A188" s="2">
        <v>46155</v>
      </c>
      <c r="B188" s="3" t="s">
        <v>171</v>
      </c>
      <c r="C188" s="32" t="s">
        <v>88</v>
      </c>
      <c r="D188" s="4"/>
      <c r="E188" s="5">
        <v>60</v>
      </c>
      <c r="F188" s="11">
        <f t="shared" si="27"/>
        <v>73.2</v>
      </c>
      <c r="G188" s="11"/>
      <c r="H188" s="25"/>
      <c r="I188" s="25"/>
      <c r="J188" s="178"/>
      <c r="K188" s="178"/>
    </row>
    <row r="189" spans="1:11">
      <c r="A189" s="2">
        <v>46148</v>
      </c>
      <c r="B189" s="3" t="s">
        <v>171</v>
      </c>
      <c r="C189" s="32" t="s">
        <v>61</v>
      </c>
      <c r="D189" s="4"/>
      <c r="E189" s="5">
        <v>60</v>
      </c>
      <c r="F189" s="11">
        <f>E189+((E189*22)/100)</f>
        <v>73.2</v>
      </c>
      <c r="G189" s="11"/>
      <c r="H189" s="25"/>
      <c r="I189" s="25"/>
      <c r="J189" s="178"/>
      <c r="K189" s="178"/>
    </row>
    <row r="190" spans="1:11" s="36" customFormat="1" ht="13.2" hidden="1">
      <c r="A190" s="2">
        <v>46147</v>
      </c>
      <c r="B190" s="56"/>
      <c r="C190" s="57"/>
      <c r="D190" s="46"/>
      <c r="E190" s="47">
        <f>E177</f>
        <v>90</v>
      </c>
      <c r="F190" s="47">
        <f t="shared" si="25"/>
        <v>109.8</v>
      </c>
      <c r="G190" s="47"/>
      <c r="H190" s="48"/>
      <c r="I190" s="48"/>
      <c r="J190" s="246"/>
      <c r="K190" s="246"/>
    </row>
    <row r="191" spans="1:11" s="36" customFormat="1" ht="13.2" hidden="1">
      <c r="A191" s="2">
        <v>46148</v>
      </c>
      <c r="B191" s="56"/>
      <c r="C191" s="57"/>
      <c r="D191" s="46"/>
      <c r="E191" s="47" t="e">
        <f>#REF!+#REF!</f>
        <v>#REF!</v>
      </c>
      <c r="F191" s="47" t="e">
        <f t="shared" si="25"/>
        <v>#REF!</v>
      </c>
      <c r="G191" s="47"/>
      <c r="H191" s="48"/>
      <c r="I191" s="48"/>
      <c r="J191" s="246"/>
      <c r="K191" s="246"/>
    </row>
    <row r="192" spans="1:11" s="36" customFormat="1" ht="13.2" hidden="1">
      <c r="A192" s="2">
        <v>46149</v>
      </c>
      <c r="B192" s="56"/>
      <c r="C192" s="57"/>
      <c r="D192" s="46"/>
      <c r="E192" s="47" t="e">
        <f>+#REF!+#REF!</f>
        <v>#REF!</v>
      </c>
      <c r="F192" s="47" t="e">
        <f t="shared" si="25"/>
        <v>#REF!</v>
      </c>
      <c r="G192" s="47"/>
      <c r="H192" s="48"/>
      <c r="I192" s="48"/>
      <c r="J192" s="246"/>
      <c r="K192" s="246"/>
    </row>
    <row r="193" spans="1:11" s="36" customFormat="1" ht="13.2" hidden="1">
      <c r="A193" s="2">
        <v>46150</v>
      </c>
      <c r="B193" s="56"/>
      <c r="C193" s="57"/>
      <c r="D193" s="46"/>
      <c r="E193" s="47">
        <f>+E180+E181+E186+E188</f>
        <v>300</v>
      </c>
      <c r="F193" s="47">
        <f t="shared" si="25"/>
        <v>366</v>
      </c>
      <c r="G193" s="47"/>
      <c r="H193" s="48"/>
      <c r="I193" s="48"/>
      <c r="J193" s="246"/>
      <c r="K193" s="246"/>
    </row>
    <row r="194" spans="1:11" s="36" customFormat="1" ht="13.2" hidden="1">
      <c r="A194" s="2">
        <v>46148</v>
      </c>
      <c r="B194" s="56"/>
      <c r="C194" s="57"/>
      <c r="D194" s="46"/>
      <c r="E194" s="47">
        <f>E179+E189</f>
        <v>150</v>
      </c>
      <c r="F194" s="47">
        <f t="shared" si="25"/>
        <v>183</v>
      </c>
      <c r="G194" s="47"/>
      <c r="H194" s="48"/>
      <c r="I194" s="48"/>
      <c r="J194" s="246"/>
      <c r="K194" s="246"/>
    </row>
    <row r="195" spans="1:11" s="1" customFormat="1" ht="15.6">
      <c r="A195" s="39">
        <v>46144</v>
      </c>
      <c r="B195" s="50"/>
      <c r="C195" s="49"/>
      <c r="D195" s="216"/>
      <c r="E195" s="38">
        <f>SUM(E177:E189)</f>
        <v>1101</v>
      </c>
      <c r="F195" s="38">
        <f t="shared" ref="F195:F238" si="31">E195+((E195*22)/100)</f>
        <v>1343.22</v>
      </c>
      <c r="G195" s="338"/>
      <c r="H195" s="339"/>
      <c r="I195" s="339"/>
      <c r="J195" s="339"/>
      <c r="K195" s="340"/>
    </row>
    <row r="196" spans="1:11">
      <c r="A196" s="2">
        <v>46174</v>
      </c>
      <c r="B196" s="3" t="s">
        <v>169</v>
      </c>
      <c r="C196" s="32" t="s">
        <v>61</v>
      </c>
      <c r="D196" s="4"/>
      <c r="E196" s="5">
        <v>90</v>
      </c>
      <c r="F196" s="11">
        <f t="shared" si="31"/>
        <v>109.8</v>
      </c>
      <c r="G196" s="11"/>
      <c r="H196" s="25"/>
      <c r="I196" s="25"/>
      <c r="J196" s="178"/>
      <c r="K196" s="178"/>
    </row>
    <row r="197" spans="1:11">
      <c r="A197" s="2">
        <v>46174</v>
      </c>
      <c r="B197" s="3" t="s">
        <v>169</v>
      </c>
      <c r="C197" s="32" t="s">
        <v>137</v>
      </c>
      <c r="D197" s="4"/>
      <c r="E197" s="5">
        <v>90</v>
      </c>
      <c r="F197" s="11">
        <f t="shared" si="31"/>
        <v>109.8</v>
      </c>
      <c r="G197" s="11"/>
      <c r="H197" s="25"/>
      <c r="I197" s="25"/>
      <c r="J197" s="178"/>
      <c r="K197" s="178"/>
    </row>
    <row r="198" spans="1:11">
      <c r="A198" s="2">
        <v>46175</v>
      </c>
      <c r="B198" s="3" t="s">
        <v>169</v>
      </c>
      <c r="C198" s="32" t="s">
        <v>61</v>
      </c>
      <c r="D198" s="4"/>
      <c r="E198" s="5">
        <v>90</v>
      </c>
      <c r="F198" s="11">
        <f t="shared" si="31"/>
        <v>109.8</v>
      </c>
      <c r="G198" s="11"/>
      <c r="H198" s="25"/>
      <c r="I198" s="25"/>
      <c r="J198" s="178"/>
      <c r="K198" s="178"/>
    </row>
    <row r="199" spans="1:11">
      <c r="A199" s="2">
        <v>46176</v>
      </c>
      <c r="B199" s="3" t="s">
        <v>169</v>
      </c>
      <c r="C199" s="32" t="s">
        <v>99</v>
      </c>
      <c r="D199" s="4"/>
      <c r="E199" s="5">
        <v>90</v>
      </c>
      <c r="F199" s="11">
        <f t="shared" si="31"/>
        <v>109.8</v>
      </c>
      <c r="G199" s="11"/>
      <c r="H199" s="25"/>
      <c r="I199" s="25"/>
      <c r="J199" s="178"/>
      <c r="K199" s="178"/>
    </row>
    <row r="200" spans="1:11">
      <c r="A200" s="2">
        <v>46177</v>
      </c>
      <c r="B200" s="3" t="s">
        <v>431</v>
      </c>
      <c r="C200" s="32" t="s">
        <v>99</v>
      </c>
      <c r="D200" s="4"/>
      <c r="E200" s="5">
        <v>65</v>
      </c>
      <c r="F200" s="11">
        <f t="shared" si="31"/>
        <v>79.3</v>
      </c>
      <c r="G200" s="11"/>
      <c r="H200" s="25"/>
      <c r="I200" s="25"/>
      <c r="J200" s="178"/>
      <c r="K200" s="178"/>
    </row>
    <row r="201" spans="1:11">
      <c r="A201" s="2">
        <v>46174</v>
      </c>
      <c r="B201" s="3" t="s">
        <v>171</v>
      </c>
      <c r="C201" s="32" t="s">
        <v>137</v>
      </c>
      <c r="D201" s="4"/>
      <c r="E201" s="5">
        <v>60</v>
      </c>
      <c r="F201" s="11">
        <f t="shared" si="31"/>
        <v>73.2</v>
      </c>
      <c r="G201" s="11"/>
      <c r="H201" s="25"/>
      <c r="I201" s="25"/>
      <c r="J201" s="178"/>
      <c r="K201" s="178"/>
    </row>
    <row r="202" spans="1:11">
      <c r="A202" s="2">
        <v>46175</v>
      </c>
      <c r="B202" s="3" t="s">
        <v>171</v>
      </c>
      <c r="C202" s="32" t="s">
        <v>61</v>
      </c>
      <c r="D202" s="4"/>
      <c r="E202" s="5">
        <v>60</v>
      </c>
      <c r="F202" s="11">
        <f t="shared" si="31"/>
        <v>73.2</v>
      </c>
      <c r="G202" s="11"/>
      <c r="H202" s="25"/>
      <c r="I202" s="25"/>
      <c r="J202" s="178"/>
      <c r="K202" s="178"/>
    </row>
    <row r="203" spans="1:11">
      <c r="A203" s="2">
        <v>46176</v>
      </c>
      <c r="B203" s="3" t="s">
        <v>171</v>
      </c>
      <c r="C203" s="32" t="s">
        <v>99</v>
      </c>
      <c r="D203" s="4"/>
      <c r="E203" s="5">
        <v>60</v>
      </c>
      <c r="F203" s="11">
        <f t="shared" si="31"/>
        <v>73.2</v>
      </c>
      <c r="G203" s="11"/>
      <c r="H203" s="25"/>
      <c r="I203" s="25"/>
      <c r="J203" s="178"/>
      <c r="K203" s="178"/>
    </row>
    <row r="204" spans="1:11" s="36" customFormat="1" ht="13.2" hidden="1">
      <c r="A204" s="2">
        <v>46177</v>
      </c>
      <c r="B204" s="56"/>
      <c r="C204" s="57"/>
      <c r="D204" s="46"/>
      <c r="E204" s="47" t="e">
        <f>+#REF!+#REF!+#REF!+#REF!+#REF!+#REF!</f>
        <v>#REF!</v>
      </c>
      <c r="F204" s="47" t="e">
        <f t="shared" si="31"/>
        <v>#REF!</v>
      </c>
      <c r="G204" s="47"/>
      <c r="H204" s="48"/>
      <c r="I204" s="48"/>
      <c r="J204" s="246"/>
      <c r="K204" s="246"/>
    </row>
    <row r="205" spans="1:11" s="36" customFormat="1" ht="13.2" hidden="1">
      <c r="A205" s="2">
        <v>46179</v>
      </c>
      <c r="B205" s="56"/>
      <c r="C205" s="57"/>
      <c r="D205" s="46"/>
      <c r="E205" s="47">
        <f>+E196+E198+E202</f>
        <v>240</v>
      </c>
      <c r="F205" s="47">
        <f t="shared" si="31"/>
        <v>292.8</v>
      </c>
      <c r="G205" s="47"/>
      <c r="H205" s="48"/>
      <c r="I205" s="48"/>
      <c r="J205" s="246"/>
      <c r="K205" s="246"/>
    </row>
    <row r="206" spans="1:11" s="36" customFormat="1" ht="13.2" hidden="1">
      <c r="A206" s="2">
        <v>46180</v>
      </c>
      <c r="B206" s="56"/>
      <c r="C206" s="57"/>
      <c r="D206" s="46"/>
      <c r="E206" s="47">
        <f>+E199+E203</f>
        <v>150</v>
      </c>
      <c r="F206" s="47">
        <f t="shared" si="31"/>
        <v>183</v>
      </c>
      <c r="G206" s="47"/>
      <c r="H206" s="48"/>
      <c r="I206" s="48"/>
      <c r="J206" s="246"/>
      <c r="K206" s="246"/>
    </row>
    <row r="207" spans="1:11" s="36" customFormat="1" ht="13.2" hidden="1">
      <c r="A207" s="2">
        <v>46181</v>
      </c>
      <c r="B207" s="56"/>
      <c r="C207" s="57"/>
      <c r="D207" s="46"/>
      <c r="E207" s="47" t="e">
        <f>+#REF!+#REF!+#REF!</f>
        <v>#REF!</v>
      </c>
      <c r="F207" s="47" t="e">
        <f t="shared" si="31"/>
        <v>#REF!</v>
      </c>
      <c r="G207" s="47"/>
      <c r="H207" s="48"/>
      <c r="I207" s="48"/>
      <c r="J207" s="246"/>
      <c r="K207" s="246"/>
    </row>
    <row r="208" spans="1:11" s="36" customFormat="1" ht="13.2" hidden="1">
      <c r="A208" s="2">
        <v>46180</v>
      </c>
      <c r="B208" s="56"/>
      <c r="C208" s="57"/>
      <c r="D208" s="46"/>
      <c r="E208" s="47">
        <f>+E197+E201</f>
        <v>150</v>
      </c>
      <c r="F208" s="47">
        <f t="shared" si="31"/>
        <v>183</v>
      </c>
      <c r="G208" s="47"/>
      <c r="H208" s="48"/>
      <c r="I208" s="48"/>
      <c r="J208" s="246"/>
      <c r="K208" s="246"/>
    </row>
    <row r="209" spans="1:11" s="1" customFormat="1" ht="15.6">
      <c r="A209" s="39">
        <v>46175</v>
      </c>
      <c r="B209" s="50"/>
      <c r="C209" s="49"/>
      <c r="D209" s="216"/>
      <c r="E209" s="38">
        <f>SUM(E196:E203)</f>
        <v>605</v>
      </c>
      <c r="F209" s="38">
        <f t="shared" ref="F209" si="32">E209+((E209*22)/100)</f>
        <v>738.1</v>
      </c>
      <c r="G209" s="338"/>
      <c r="H209" s="339"/>
      <c r="I209" s="339"/>
      <c r="J209" s="339"/>
      <c r="K209" s="340"/>
    </row>
    <row r="210" spans="1:11">
      <c r="A210" s="2">
        <v>46205</v>
      </c>
      <c r="B210" s="3" t="s">
        <v>169</v>
      </c>
      <c r="C210" s="32" t="s">
        <v>155</v>
      </c>
      <c r="D210" s="4"/>
      <c r="E210" s="11">
        <v>128</v>
      </c>
      <c r="F210" s="11">
        <f t="shared" si="31"/>
        <v>156.16</v>
      </c>
      <c r="G210" s="11"/>
      <c r="H210" s="25"/>
      <c r="I210" s="25"/>
      <c r="J210" s="178"/>
      <c r="K210" s="178"/>
    </row>
    <row r="211" spans="1:11">
      <c r="A211" s="2">
        <v>46206</v>
      </c>
      <c r="B211" s="3" t="s">
        <v>169</v>
      </c>
      <c r="C211" s="32" t="s">
        <v>129</v>
      </c>
      <c r="D211" s="4"/>
      <c r="E211" s="11">
        <v>128</v>
      </c>
      <c r="F211" s="11">
        <f t="shared" si="31"/>
        <v>156.16</v>
      </c>
      <c r="G211" s="11"/>
      <c r="H211" s="25"/>
      <c r="I211" s="25"/>
      <c r="J211" s="178"/>
      <c r="K211" s="178"/>
    </row>
    <row r="212" spans="1:11">
      <c r="A212" s="2">
        <v>46207</v>
      </c>
      <c r="B212" s="3" t="s">
        <v>169</v>
      </c>
      <c r="C212" s="32" t="s">
        <v>155</v>
      </c>
      <c r="D212" s="4"/>
      <c r="E212" s="11">
        <v>128</v>
      </c>
      <c r="F212" s="11">
        <f t="shared" ref="F212" si="33">E212+((E212*22)/100)</f>
        <v>156.16</v>
      </c>
      <c r="G212" s="11"/>
      <c r="H212" s="25"/>
      <c r="I212" s="25"/>
      <c r="J212" s="178"/>
      <c r="K212" s="178"/>
    </row>
    <row r="213" spans="1:11">
      <c r="A213" s="2">
        <v>46207</v>
      </c>
      <c r="B213" s="3" t="s">
        <v>169</v>
      </c>
      <c r="C213" s="32" t="s">
        <v>197</v>
      </c>
      <c r="D213" s="4"/>
      <c r="E213" s="11">
        <v>90</v>
      </c>
      <c r="F213" s="11">
        <f t="shared" si="31"/>
        <v>109.8</v>
      </c>
      <c r="G213" s="11"/>
      <c r="H213" s="25"/>
      <c r="I213" s="25"/>
      <c r="J213" s="178"/>
      <c r="K213" s="178"/>
    </row>
    <row r="214" spans="1:11">
      <c r="A214" s="2">
        <v>46208</v>
      </c>
      <c r="B214" s="3" t="s">
        <v>169</v>
      </c>
      <c r="C214" s="32" t="s">
        <v>138</v>
      </c>
      <c r="D214" s="4"/>
      <c r="E214" s="11">
        <v>128</v>
      </c>
      <c r="F214" s="11">
        <f>E214+((E214*22)/100)</f>
        <v>156.16</v>
      </c>
      <c r="G214" s="11"/>
      <c r="H214" s="25"/>
      <c r="I214" s="25"/>
      <c r="J214" s="178"/>
      <c r="K214" s="178"/>
    </row>
    <row r="215" spans="1:11">
      <c r="A215" s="2">
        <v>46209</v>
      </c>
      <c r="B215" s="3" t="s">
        <v>169</v>
      </c>
      <c r="C215" s="32" t="s">
        <v>75</v>
      </c>
      <c r="D215" s="4"/>
      <c r="E215" s="11">
        <v>128</v>
      </c>
      <c r="F215" s="11">
        <f>E215+((E215*22)/100)</f>
        <v>156.16</v>
      </c>
      <c r="G215" s="11"/>
      <c r="H215" s="25"/>
      <c r="I215" s="25"/>
      <c r="J215" s="178"/>
      <c r="K215" s="178"/>
    </row>
    <row r="216" spans="1:11">
      <c r="A216" s="2">
        <v>46209</v>
      </c>
      <c r="B216" s="3" t="s">
        <v>169</v>
      </c>
      <c r="C216" s="32" t="s">
        <v>137</v>
      </c>
      <c r="D216" s="4"/>
      <c r="E216" s="11">
        <v>128</v>
      </c>
      <c r="F216" s="11">
        <f>E216+((E216*22)/100)</f>
        <v>156.16</v>
      </c>
      <c r="G216" s="11"/>
      <c r="H216" s="25"/>
      <c r="I216" s="25"/>
      <c r="J216" s="178"/>
      <c r="K216" s="178"/>
    </row>
    <row r="217" spans="1:11">
      <c r="A217" s="2">
        <v>46207</v>
      </c>
      <c r="B217" s="3" t="s">
        <v>169</v>
      </c>
      <c r="C217" s="32" t="s">
        <v>146</v>
      </c>
      <c r="D217" s="4"/>
      <c r="E217" s="11">
        <v>90</v>
      </c>
      <c r="F217" s="11">
        <f>E217+((E217*22)/100)</f>
        <v>109.8</v>
      </c>
      <c r="G217" s="11"/>
      <c r="H217" s="25"/>
      <c r="I217" s="25"/>
      <c r="J217" s="178"/>
      <c r="K217" s="178"/>
    </row>
    <row r="218" spans="1:11">
      <c r="A218" s="2">
        <v>46207</v>
      </c>
      <c r="B218" s="3" t="s">
        <v>169</v>
      </c>
      <c r="C218" s="32"/>
      <c r="D218" s="4"/>
      <c r="E218" s="184">
        <v>90</v>
      </c>
      <c r="F218" s="11">
        <f>E218+((E218*22)/100)</f>
        <v>109.8</v>
      </c>
      <c r="G218" s="11"/>
      <c r="H218" s="25"/>
      <c r="I218" s="25"/>
      <c r="J218" s="178"/>
      <c r="K218" s="178"/>
    </row>
    <row r="219" spans="1:11">
      <c r="A219" s="2">
        <v>46208</v>
      </c>
      <c r="B219" s="3" t="s">
        <v>431</v>
      </c>
      <c r="C219" s="32" t="s">
        <v>129</v>
      </c>
      <c r="D219" s="4"/>
      <c r="E219" s="5">
        <v>65</v>
      </c>
      <c r="F219" s="11">
        <f t="shared" ref="F219" si="34">E219+((E219*22)/100)</f>
        <v>79.3</v>
      </c>
      <c r="G219" s="11"/>
      <c r="H219" s="25"/>
      <c r="I219" s="25"/>
      <c r="J219" s="178"/>
      <c r="K219" s="178"/>
    </row>
    <row r="220" spans="1:11">
      <c r="A220" s="2">
        <v>46208</v>
      </c>
      <c r="B220" s="3" t="s">
        <v>171</v>
      </c>
      <c r="C220" s="32" t="s">
        <v>129</v>
      </c>
      <c r="D220" s="4"/>
      <c r="E220" s="11">
        <v>120</v>
      </c>
      <c r="F220" s="11">
        <f t="shared" si="31"/>
        <v>146.4</v>
      </c>
      <c r="G220" s="11"/>
      <c r="H220" s="25"/>
      <c r="I220" s="25"/>
      <c r="J220" s="178"/>
      <c r="K220" s="178"/>
    </row>
    <row r="221" spans="1:11">
      <c r="A221" s="2">
        <v>46208</v>
      </c>
      <c r="B221" s="3" t="s">
        <v>171</v>
      </c>
      <c r="C221" s="32" t="s">
        <v>137</v>
      </c>
      <c r="D221" s="4"/>
      <c r="E221" s="11">
        <v>120</v>
      </c>
      <c r="F221" s="11">
        <f t="shared" ref="F221" si="35">E221+((E221*22)/100)</f>
        <v>146.4</v>
      </c>
      <c r="G221" s="11"/>
      <c r="H221" s="25"/>
      <c r="I221" s="25"/>
      <c r="J221" s="178"/>
      <c r="K221" s="178"/>
    </row>
    <row r="222" spans="1:11">
      <c r="A222" s="2">
        <v>46209</v>
      </c>
      <c r="B222" s="3" t="s">
        <v>171</v>
      </c>
      <c r="C222" s="32" t="s">
        <v>155</v>
      </c>
      <c r="D222" s="4"/>
      <c r="E222" s="11">
        <v>120</v>
      </c>
      <c r="F222" s="11">
        <f t="shared" ref="F222" si="36">E222+((E222*22)/100)</f>
        <v>146.4</v>
      </c>
      <c r="G222" s="11"/>
      <c r="H222" s="25"/>
      <c r="I222" s="25"/>
      <c r="J222" s="178"/>
      <c r="K222" s="178"/>
    </row>
    <row r="223" spans="1:11">
      <c r="A223" s="2">
        <v>46204</v>
      </c>
      <c r="B223" s="3" t="s">
        <v>171</v>
      </c>
      <c r="C223" s="32" t="s">
        <v>197</v>
      </c>
      <c r="D223" s="4"/>
      <c r="E223" s="11">
        <v>60</v>
      </c>
      <c r="F223" s="11">
        <f t="shared" si="31"/>
        <v>73.2</v>
      </c>
      <c r="G223" s="11"/>
      <c r="H223" s="25"/>
      <c r="I223" s="25"/>
      <c r="J223" s="178"/>
      <c r="K223" s="178"/>
    </row>
    <row r="224" spans="1:11">
      <c r="A224" s="2">
        <v>46208</v>
      </c>
      <c r="B224" s="3" t="s">
        <v>171</v>
      </c>
      <c r="C224" s="32" t="s">
        <v>138</v>
      </c>
      <c r="D224" s="4"/>
      <c r="E224" s="11">
        <v>60</v>
      </c>
      <c r="F224" s="11">
        <f t="shared" ref="F224" si="37">E224+((E224*22)/100)</f>
        <v>73.2</v>
      </c>
      <c r="G224" s="11"/>
      <c r="H224" s="25"/>
      <c r="I224" s="25"/>
      <c r="J224" s="178"/>
      <c r="K224" s="178"/>
    </row>
    <row r="225" spans="1:11">
      <c r="A225" s="2">
        <v>46209</v>
      </c>
      <c r="B225" s="3" t="s">
        <v>171</v>
      </c>
      <c r="C225" s="32" t="s">
        <v>75</v>
      </c>
      <c r="D225" s="4"/>
      <c r="E225" s="11">
        <v>60</v>
      </c>
      <c r="F225" s="11">
        <f t="shared" ref="F225" si="38">E225+((E225*22)/100)</f>
        <v>73.2</v>
      </c>
      <c r="G225" s="11"/>
      <c r="H225" s="25"/>
      <c r="I225" s="25"/>
      <c r="J225" s="178"/>
      <c r="K225" s="178"/>
    </row>
    <row r="226" spans="1:11">
      <c r="A226" s="2">
        <v>46206</v>
      </c>
      <c r="B226" s="3" t="s">
        <v>171</v>
      </c>
      <c r="C226" s="32" t="s">
        <v>99</v>
      </c>
      <c r="D226" s="4"/>
      <c r="E226" s="11">
        <v>60</v>
      </c>
      <c r="F226" s="11">
        <f t="shared" si="31"/>
        <v>73.2</v>
      </c>
      <c r="G226" s="155" t="s">
        <v>430</v>
      </c>
      <c r="H226" s="25"/>
      <c r="I226" s="25"/>
      <c r="J226" s="178"/>
      <c r="K226" s="178"/>
    </row>
    <row r="227" spans="1:11">
      <c r="A227" s="2">
        <v>46206</v>
      </c>
      <c r="B227" s="3" t="s">
        <v>171</v>
      </c>
      <c r="C227" s="32" t="s">
        <v>88</v>
      </c>
      <c r="D227" s="4"/>
      <c r="E227" s="11">
        <v>120</v>
      </c>
      <c r="F227" s="11">
        <f t="shared" si="31"/>
        <v>146.4</v>
      </c>
      <c r="G227" s="11"/>
      <c r="H227" s="25"/>
      <c r="I227" s="25"/>
      <c r="J227" s="178"/>
      <c r="K227" s="178"/>
    </row>
    <row r="228" spans="1:11">
      <c r="A228" s="2">
        <v>46207</v>
      </c>
      <c r="B228" s="3" t="s">
        <v>171</v>
      </c>
      <c r="C228" s="32" t="s">
        <v>88</v>
      </c>
      <c r="D228" s="4"/>
      <c r="E228" s="11">
        <v>120</v>
      </c>
      <c r="F228" s="11">
        <f>E228+((E228*22)/100)</f>
        <v>146.4</v>
      </c>
      <c r="G228" s="11"/>
      <c r="H228" s="25"/>
      <c r="I228" s="25"/>
      <c r="J228" s="178"/>
      <c r="K228" s="178"/>
    </row>
    <row r="229" spans="1:11">
      <c r="A229" s="2">
        <v>46208</v>
      </c>
      <c r="B229" s="3" t="s">
        <v>172</v>
      </c>
      <c r="C229" s="32" t="s">
        <v>138</v>
      </c>
      <c r="D229" s="4"/>
      <c r="E229" s="11">
        <v>65</v>
      </c>
      <c r="F229" s="11">
        <f>E229+((E229*22)/100)</f>
        <v>79.3</v>
      </c>
      <c r="G229" s="11"/>
      <c r="H229" s="25"/>
      <c r="I229" s="25"/>
      <c r="J229" s="178"/>
      <c r="K229" s="178"/>
    </row>
    <row r="230" spans="1:11">
      <c r="A230" s="2">
        <v>46208</v>
      </c>
      <c r="B230" s="3" t="s">
        <v>172</v>
      </c>
      <c r="C230" s="32" t="s">
        <v>155</v>
      </c>
      <c r="D230" s="4"/>
      <c r="E230" s="11">
        <v>65</v>
      </c>
      <c r="F230" s="11">
        <f>E230+((E230*22)/100)</f>
        <v>79.3</v>
      </c>
      <c r="G230" s="11"/>
      <c r="H230" s="25"/>
      <c r="I230" s="25"/>
      <c r="J230" s="178"/>
      <c r="K230" s="178"/>
    </row>
    <row r="231" spans="1:11">
      <c r="A231" s="2">
        <v>46208</v>
      </c>
      <c r="B231" s="3" t="s">
        <v>172</v>
      </c>
      <c r="C231" s="32" t="s">
        <v>129</v>
      </c>
      <c r="D231" s="4"/>
      <c r="E231" s="11">
        <v>65</v>
      </c>
      <c r="F231" s="11">
        <f>E231+((E231*22)/100)</f>
        <v>79.3</v>
      </c>
      <c r="G231" s="11"/>
      <c r="H231" s="25"/>
      <c r="I231" s="25"/>
      <c r="J231" s="178"/>
      <c r="K231" s="178"/>
    </row>
    <row r="232" spans="1:11" s="36" customFormat="1" ht="13.2" hidden="1">
      <c r="A232" s="39">
        <v>46208</v>
      </c>
      <c r="B232" s="56"/>
      <c r="C232" s="45"/>
      <c r="D232" s="46"/>
      <c r="E232" s="47" t="e">
        <f>+#REF!+#REF!+E213+E223</f>
        <v>#REF!</v>
      </c>
      <c r="F232" s="47" t="e">
        <f t="shared" si="31"/>
        <v>#REF!</v>
      </c>
      <c r="G232" s="47"/>
      <c r="H232" s="48"/>
      <c r="I232" s="48"/>
      <c r="J232" s="246"/>
      <c r="K232" s="246"/>
    </row>
    <row r="233" spans="1:11" s="36" customFormat="1" ht="13.2" hidden="1">
      <c r="A233" s="39">
        <v>46209</v>
      </c>
      <c r="B233" s="56"/>
      <c r="C233" s="45"/>
      <c r="D233" s="46"/>
      <c r="E233" s="47">
        <f>+E227+E228</f>
        <v>240</v>
      </c>
      <c r="F233" s="47">
        <f t="shared" si="31"/>
        <v>292.8</v>
      </c>
      <c r="G233" s="47"/>
      <c r="H233" s="48"/>
      <c r="I233" s="48"/>
      <c r="J233" s="246"/>
      <c r="K233" s="246"/>
    </row>
    <row r="234" spans="1:11" s="36" customFormat="1" ht="13.2" hidden="1">
      <c r="A234" s="39">
        <v>46210</v>
      </c>
      <c r="B234" s="56"/>
      <c r="C234" s="45"/>
      <c r="D234" s="46"/>
      <c r="E234" s="47">
        <f>+E210</f>
        <v>128</v>
      </c>
      <c r="F234" s="47">
        <f t="shared" si="31"/>
        <v>156.16</v>
      </c>
      <c r="G234" s="47"/>
      <c r="H234" s="48"/>
      <c r="I234" s="48"/>
      <c r="J234" s="246"/>
      <c r="K234" s="246"/>
    </row>
    <row r="235" spans="1:11" s="36" customFormat="1" ht="13.2" hidden="1">
      <c r="A235" s="39">
        <v>46211</v>
      </c>
      <c r="B235" s="56"/>
      <c r="C235" s="45"/>
      <c r="D235" s="46"/>
      <c r="E235" s="47">
        <f>+E211+E220+E231</f>
        <v>313</v>
      </c>
      <c r="F235" s="47">
        <f t="shared" si="31"/>
        <v>381.86</v>
      </c>
      <c r="G235" s="47"/>
      <c r="H235" s="48"/>
      <c r="I235" s="48"/>
      <c r="J235" s="246"/>
      <c r="K235" s="246"/>
    </row>
    <row r="236" spans="1:11" s="36" customFormat="1" ht="13.2" hidden="1">
      <c r="A236" s="39">
        <v>46210</v>
      </c>
      <c r="B236" s="56"/>
      <c r="C236" s="45"/>
      <c r="D236" s="46"/>
      <c r="E236" s="47">
        <f>+E226</f>
        <v>60</v>
      </c>
      <c r="F236" s="47">
        <f t="shared" si="31"/>
        <v>73.2</v>
      </c>
      <c r="G236" s="47"/>
      <c r="H236" s="48"/>
      <c r="I236" s="48"/>
      <c r="J236" s="246"/>
      <c r="K236" s="246"/>
    </row>
    <row r="237" spans="1:11" s="1" customFormat="1" ht="15.6">
      <c r="A237" s="39">
        <v>46211</v>
      </c>
      <c r="B237" s="50"/>
      <c r="C237" s="49"/>
      <c r="D237" s="216"/>
      <c r="E237" s="38">
        <f>SUM(E210:E231)</f>
        <v>2138</v>
      </c>
      <c r="F237" s="38">
        <f t="shared" si="31"/>
        <v>2608.36</v>
      </c>
      <c r="G237" s="338"/>
      <c r="H237" s="339"/>
      <c r="I237" s="339"/>
      <c r="J237" s="339"/>
      <c r="K237" s="340"/>
    </row>
    <row r="238" spans="1:11">
      <c r="A238" s="2">
        <v>46266</v>
      </c>
      <c r="B238" s="3" t="s">
        <v>169</v>
      </c>
      <c r="C238" s="32" t="s">
        <v>99</v>
      </c>
      <c r="D238" s="4"/>
      <c r="E238" s="11">
        <v>128</v>
      </c>
      <c r="F238" s="11">
        <f t="shared" si="31"/>
        <v>156.16</v>
      </c>
      <c r="G238" s="207"/>
      <c r="H238" s="25"/>
      <c r="I238" s="25"/>
      <c r="J238" s="178"/>
      <c r="K238" s="178"/>
    </row>
    <row r="239" spans="1:11">
      <c r="A239" s="2">
        <v>46267</v>
      </c>
      <c r="B239" s="3" t="s">
        <v>169</v>
      </c>
      <c r="C239" s="32" t="s">
        <v>155</v>
      </c>
      <c r="D239" s="4"/>
      <c r="E239" s="11">
        <v>128</v>
      </c>
      <c r="F239" s="11">
        <f t="shared" ref="F239:F250" si="39">E239+((E239*22)/100)</f>
        <v>156.16</v>
      </c>
      <c r="G239" s="155" t="s">
        <v>240</v>
      </c>
      <c r="H239" s="25"/>
      <c r="I239" s="25"/>
      <c r="J239" s="178"/>
      <c r="K239" s="178"/>
    </row>
    <row r="240" spans="1:11">
      <c r="A240" s="2">
        <v>46268</v>
      </c>
      <c r="B240" s="3" t="s">
        <v>169</v>
      </c>
      <c r="C240" s="32" t="s">
        <v>197</v>
      </c>
      <c r="D240" s="4"/>
      <c r="E240" s="11">
        <v>128</v>
      </c>
      <c r="F240" s="11">
        <f t="shared" si="39"/>
        <v>156.16</v>
      </c>
      <c r="G240" s="11"/>
      <c r="H240" s="25"/>
      <c r="I240" s="25"/>
      <c r="J240" s="178"/>
      <c r="K240" s="178"/>
    </row>
    <row r="241" spans="1:11">
      <c r="A241" s="2">
        <v>46269</v>
      </c>
      <c r="B241" s="3" t="s">
        <v>169</v>
      </c>
      <c r="C241" s="32" t="s">
        <v>138</v>
      </c>
      <c r="D241" s="4"/>
      <c r="E241" s="11">
        <v>128</v>
      </c>
      <c r="F241" s="11">
        <f t="shared" si="39"/>
        <v>156.16</v>
      </c>
      <c r="G241" s="11"/>
      <c r="H241" s="25"/>
      <c r="I241" s="25"/>
      <c r="J241" s="178"/>
      <c r="K241" s="178"/>
    </row>
    <row r="242" spans="1:11">
      <c r="A242" s="2">
        <v>46270</v>
      </c>
      <c r="B242" s="3" t="s">
        <v>169</v>
      </c>
      <c r="C242" s="32" t="s">
        <v>88</v>
      </c>
      <c r="D242" s="4"/>
      <c r="E242" s="11">
        <v>128</v>
      </c>
      <c r="F242" s="11">
        <f t="shared" ref="F242" si="40">E242+((E242*22)/100)</f>
        <v>156.16</v>
      </c>
      <c r="G242" s="11"/>
      <c r="H242" s="25"/>
      <c r="I242" s="25"/>
      <c r="J242" s="178"/>
      <c r="K242" s="178"/>
    </row>
    <row r="243" spans="1:11">
      <c r="A243" s="2">
        <v>46270</v>
      </c>
      <c r="B243" s="3" t="s">
        <v>169</v>
      </c>
      <c r="C243" s="32" t="s">
        <v>138</v>
      </c>
      <c r="D243" s="4"/>
      <c r="E243" s="11">
        <v>128</v>
      </c>
      <c r="F243" s="11">
        <f t="shared" ref="F243" si="41">E243+((E243*22)/100)</f>
        <v>156.16</v>
      </c>
      <c r="G243" s="11"/>
      <c r="H243" s="25"/>
      <c r="I243" s="25"/>
      <c r="J243" s="178"/>
      <c r="K243" s="178"/>
    </row>
    <row r="244" spans="1:11">
      <c r="A244" s="2">
        <v>46271</v>
      </c>
      <c r="B244" s="3" t="s">
        <v>431</v>
      </c>
      <c r="C244" s="32" t="s">
        <v>137</v>
      </c>
      <c r="D244" s="4"/>
      <c r="E244" s="5">
        <v>65</v>
      </c>
      <c r="F244" s="11">
        <f t="shared" si="39"/>
        <v>79.3</v>
      </c>
      <c r="G244" s="11"/>
      <c r="H244" s="25"/>
      <c r="I244" s="25"/>
      <c r="J244" s="178"/>
      <c r="K244" s="178"/>
    </row>
    <row r="245" spans="1:11">
      <c r="A245" s="2">
        <v>46272</v>
      </c>
      <c r="B245" s="3" t="s">
        <v>171</v>
      </c>
      <c r="C245" s="32" t="s">
        <v>155</v>
      </c>
      <c r="D245" s="4"/>
      <c r="E245" s="11">
        <v>120</v>
      </c>
      <c r="F245" s="11">
        <f t="shared" si="39"/>
        <v>146.4</v>
      </c>
      <c r="G245" s="155" t="s">
        <v>240</v>
      </c>
      <c r="H245" s="25"/>
      <c r="I245" s="25"/>
      <c r="J245" s="178"/>
      <c r="K245" s="178"/>
    </row>
    <row r="246" spans="1:11">
      <c r="A246" s="2">
        <v>46270</v>
      </c>
      <c r="B246" s="3" t="s">
        <v>171</v>
      </c>
      <c r="C246" s="32" t="s">
        <v>138</v>
      </c>
      <c r="D246" s="4"/>
      <c r="E246" s="11">
        <v>60</v>
      </c>
      <c r="F246" s="11">
        <f t="shared" ref="F246" si="42">E246+((E246*22)/100)</f>
        <v>73.2</v>
      </c>
      <c r="G246" s="11"/>
      <c r="H246" s="25"/>
      <c r="I246" s="25"/>
      <c r="J246" s="178"/>
      <c r="K246" s="178"/>
    </row>
    <row r="247" spans="1:11">
      <c r="A247" s="2">
        <v>46273</v>
      </c>
      <c r="B247" s="3" t="s">
        <v>171</v>
      </c>
      <c r="C247" s="32" t="s">
        <v>197</v>
      </c>
      <c r="D247" s="4"/>
      <c r="E247" s="11">
        <v>60</v>
      </c>
      <c r="F247" s="11">
        <f t="shared" si="39"/>
        <v>73.2</v>
      </c>
      <c r="G247" s="11"/>
      <c r="H247" s="25"/>
      <c r="I247" s="25"/>
      <c r="J247" s="178"/>
      <c r="K247" s="178"/>
    </row>
    <row r="248" spans="1:11">
      <c r="A248" s="2">
        <v>46274</v>
      </c>
      <c r="B248" s="3" t="s">
        <v>171</v>
      </c>
      <c r="C248" s="32" t="s">
        <v>138</v>
      </c>
      <c r="D248" s="4"/>
      <c r="E248" s="11">
        <v>60</v>
      </c>
      <c r="F248" s="11">
        <f t="shared" si="39"/>
        <v>73.2</v>
      </c>
      <c r="G248" s="11"/>
      <c r="H248" s="25"/>
      <c r="I248" s="25"/>
      <c r="J248" s="178"/>
      <c r="K248" s="178"/>
    </row>
    <row r="249" spans="1:11">
      <c r="A249" s="2">
        <v>46275</v>
      </c>
      <c r="B249" s="3" t="s">
        <v>171</v>
      </c>
      <c r="C249" s="32" t="s">
        <v>140</v>
      </c>
      <c r="D249" s="4"/>
      <c r="E249" s="11">
        <v>60</v>
      </c>
      <c r="F249" s="11">
        <f t="shared" si="39"/>
        <v>73.2</v>
      </c>
      <c r="G249" s="11"/>
      <c r="H249" s="25"/>
      <c r="I249" s="25"/>
      <c r="J249" s="178"/>
      <c r="K249" s="178"/>
    </row>
    <row r="250" spans="1:11">
      <c r="A250" s="2">
        <v>46276</v>
      </c>
      <c r="B250" s="3" t="s">
        <v>171</v>
      </c>
      <c r="C250" s="32" t="s">
        <v>88</v>
      </c>
      <c r="D250" s="4"/>
      <c r="E250" s="11">
        <v>120</v>
      </c>
      <c r="F250" s="11">
        <f t="shared" si="39"/>
        <v>146.4</v>
      </c>
      <c r="G250" s="11"/>
      <c r="H250" s="25"/>
      <c r="I250" s="25"/>
      <c r="J250" s="178"/>
      <c r="K250" s="178"/>
    </row>
    <row r="251" spans="1:11">
      <c r="A251" s="2">
        <v>46277</v>
      </c>
      <c r="B251" s="3" t="s">
        <v>171</v>
      </c>
      <c r="C251" s="32" t="s">
        <v>99</v>
      </c>
      <c r="D251" s="4"/>
      <c r="E251" s="11">
        <v>120</v>
      </c>
      <c r="F251" s="11">
        <f>E251+((E251*22)/100)</f>
        <v>146.4</v>
      </c>
      <c r="G251" s="11"/>
      <c r="H251" s="25"/>
      <c r="I251" s="25"/>
      <c r="J251" s="178"/>
      <c r="K251" s="178"/>
    </row>
    <row r="252" spans="1:11">
      <c r="A252" s="2">
        <v>46278</v>
      </c>
      <c r="B252" s="3" t="s">
        <v>172</v>
      </c>
      <c r="C252" s="32" t="s">
        <v>88</v>
      </c>
      <c r="D252" s="4"/>
      <c r="E252" s="11">
        <v>65</v>
      </c>
      <c r="F252" s="11">
        <f>E252+((E252*22)/100)</f>
        <v>79.3</v>
      </c>
      <c r="G252" s="11"/>
      <c r="H252" s="25"/>
      <c r="I252" s="25"/>
      <c r="J252" s="178"/>
      <c r="K252" s="178"/>
    </row>
    <row r="253" spans="1:11">
      <c r="A253" s="2">
        <v>46278</v>
      </c>
      <c r="B253" s="3" t="s">
        <v>172</v>
      </c>
      <c r="C253" s="32" t="s">
        <v>155</v>
      </c>
      <c r="D253" s="4"/>
      <c r="E253" s="11">
        <v>65</v>
      </c>
      <c r="F253" s="11">
        <f>E253+((E253*22)/100)</f>
        <v>79.3</v>
      </c>
      <c r="G253" s="155" t="s">
        <v>240</v>
      </c>
      <c r="H253" s="25"/>
      <c r="I253" s="25"/>
      <c r="J253" s="178"/>
      <c r="K253" s="178"/>
    </row>
    <row r="254" spans="1:11">
      <c r="A254" s="2">
        <v>46278</v>
      </c>
      <c r="B254" s="3" t="s">
        <v>172</v>
      </c>
      <c r="C254" s="32" t="s">
        <v>88</v>
      </c>
      <c r="D254" s="4"/>
      <c r="E254" s="11">
        <v>65</v>
      </c>
      <c r="F254" s="11">
        <f>E254+((E254*22)/100)</f>
        <v>79.3</v>
      </c>
      <c r="G254" s="11"/>
      <c r="H254" s="25"/>
      <c r="I254" s="25"/>
      <c r="J254" s="178"/>
      <c r="K254" s="178"/>
    </row>
    <row r="255" spans="1:11">
      <c r="A255" s="2">
        <v>46279</v>
      </c>
      <c r="B255" s="3" t="s">
        <v>172</v>
      </c>
      <c r="C255" s="32" t="s">
        <v>88</v>
      </c>
      <c r="D255" s="4"/>
      <c r="E255" s="11">
        <v>65</v>
      </c>
      <c r="F255" s="11">
        <f>E255+((E255*22)/100)</f>
        <v>79.3</v>
      </c>
      <c r="G255" s="11"/>
      <c r="H255" s="25"/>
      <c r="I255" s="25"/>
      <c r="J255" s="178"/>
      <c r="K255" s="178"/>
    </row>
    <row r="256" spans="1:11" s="36" customFormat="1" ht="13.2" hidden="1">
      <c r="A256" s="2">
        <v>46280</v>
      </c>
      <c r="B256" s="56"/>
      <c r="C256" s="45"/>
      <c r="D256" s="46"/>
      <c r="E256" s="47">
        <f>+E238+E248+E243+E247</f>
        <v>376</v>
      </c>
      <c r="F256" s="47">
        <f t="shared" ref="F256:F261" si="43">E256+((E256*22)/100)</f>
        <v>458.72</v>
      </c>
      <c r="G256" s="47"/>
      <c r="H256" s="48"/>
      <c r="I256" s="48"/>
      <c r="J256" s="246"/>
      <c r="K256" s="246"/>
    </row>
    <row r="257" spans="1:12" s="36" customFormat="1" ht="13.2" hidden="1">
      <c r="A257" s="2">
        <v>46281</v>
      </c>
      <c r="B257" s="56"/>
      <c r="C257" s="45"/>
      <c r="D257" s="46"/>
      <c r="E257" s="47">
        <f>+E250+E251</f>
        <v>240</v>
      </c>
      <c r="F257" s="47">
        <f t="shared" si="43"/>
        <v>292.8</v>
      </c>
      <c r="G257" s="47"/>
      <c r="H257" s="48"/>
      <c r="I257" s="48"/>
      <c r="J257" s="246"/>
      <c r="K257" s="246"/>
    </row>
    <row r="258" spans="1:12" s="36" customFormat="1" ht="13.2" hidden="1">
      <c r="A258" s="2">
        <v>46282</v>
      </c>
      <c r="B258" s="56"/>
      <c r="C258" s="45"/>
      <c r="D258" s="46"/>
      <c r="E258" s="47">
        <f>+E239</f>
        <v>128</v>
      </c>
      <c r="F258" s="47">
        <f t="shared" si="43"/>
        <v>156.16</v>
      </c>
      <c r="G258" s="47"/>
      <c r="H258" s="48"/>
      <c r="I258" s="48"/>
      <c r="J258" s="246"/>
      <c r="K258" s="246"/>
    </row>
    <row r="259" spans="1:12" s="36" customFormat="1" ht="13.2" hidden="1">
      <c r="A259" s="2">
        <v>46283</v>
      </c>
      <c r="B259" s="56"/>
      <c r="C259" s="45"/>
      <c r="D259" s="46"/>
      <c r="E259" s="47" t="e">
        <f>+E240+#REF!+E255</f>
        <v>#REF!</v>
      </c>
      <c r="F259" s="47" t="e">
        <f t="shared" si="43"/>
        <v>#REF!</v>
      </c>
      <c r="G259" s="47"/>
      <c r="H259" s="48"/>
      <c r="I259" s="48"/>
      <c r="J259" s="246"/>
      <c r="K259" s="246"/>
    </row>
    <row r="260" spans="1:12" s="36" customFormat="1" ht="13.2" hidden="1">
      <c r="A260" s="7">
        <v>46284</v>
      </c>
      <c r="B260" s="56"/>
      <c r="C260" s="45"/>
      <c r="D260" s="46"/>
      <c r="E260" s="188">
        <f>+E249</f>
        <v>60</v>
      </c>
      <c r="F260" s="47">
        <f t="shared" si="43"/>
        <v>73.2</v>
      </c>
      <c r="G260" s="47"/>
      <c r="H260" s="48"/>
      <c r="I260" s="48"/>
      <c r="J260" s="246"/>
      <c r="K260" s="246"/>
    </row>
    <row r="261" spans="1:12" s="1" customFormat="1" ht="15.6">
      <c r="A261" s="2">
        <v>46285</v>
      </c>
      <c r="B261" s="186"/>
      <c r="C261" s="185"/>
      <c r="D261" s="217"/>
      <c r="E261" s="38">
        <f>SUM(E238:E255)</f>
        <v>1693</v>
      </c>
      <c r="F261" s="187">
        <f t="shared" si="43"/>
        <v>2065.46</v>
      </c>
      <c r="G261" s="338"/>
      <c r="H261" s="339"/>
      <c r="I261" s="339"/>
      <c r="J261" s="339"/>
      <c r="K261" s="340"/>
    </row>
    <row r="262" spans="1:12" s="1" customFormat="1" ht="15.6">
      <c r="A262" s="2">
        <v>46305</v>
      </c>
      <c r="B262" s="3" t="s">
        <v>169</v>
      </c>
      <c r="C262" s="32" t="s">
        <v>146</v>
      </c>
      <c r="D262" s="4"/>
      <c r="E262" s="183">
        <v>128</v>
      </c>
      <c r="F262" s="262">
        <f t="shared" ref="F262:F288" si="44">E262+((E262*22)/100)</f>
        <v>156.16</v>
      </c>
      <c r="G262" s="194"/>
      <c r="H262" s="25"/>
      <c r="I262" s="25"/>
      <c r="J262" s="247"/>
      <c r="K262" s="247"/>
      <c r="L262" s="189"/>
    </row>
    <row r="263" spans="1:12" s="1" customFormat="1" ht="15.6">
      <c r="A263" s="2">
        <v>46305</v>
      </c>
      <c r="B263" s="3" t="s">
        <v>169</v>
      </c>
      <c r="C263" s="32" t="s">
        <v>100</v>
      </c>
      <c r="D263" s="4"/>
      <c r="E263" s="183">
        <v>128</v>
      </c>
      <c r="F263" s="262">
        <f t="shared" ref="F263" si="45">E263+((E263*22)/100)</f>
        <v>156.16</v>
      </c>
      <c r="G263" s="194"/>
      <c r="H263" s="25"/>
      <c r="I263" s="25"/>
      <c r="J263" s="247"/>
      <c r="K263" s="247"/>
      <c r="L263" s="189"/>
    </row>
    <row r="264" spans="1:12" s="1" customFormat="1" ht="15.6">
      <c r="A264" s="2">
        <v>46305</v>
      </c>
      <c r="B264" s="3" t="s">
        <v>169</v>
      </c>
      <c r="C264" s="32" t="s">
        <v>140</v>
      </c>
      <c r="D264" s="4"/>
      <c r="E264" s="183">
        <v>128</v>
      </c>
      <c r="F264" s="262">
        <f t="shared" si="44"/>
        <v>156.16</v>
      </c>
      <c r="G264" s="194"/>
      <c r="H264" s="25"/>
      <c r="I264" s="25"/>
      <c r="J264" s="247"/>
      <c r="K264" s="247"/>
      <c r="L264" s="189"/>
    </row>
    <row r="265" spans="1:12" s="1" customFormat="1" ht="15.6">
      <c r="A265" s="2">
        <v>46305</v>
      </c>
      <c r="B265" s="3" t="s">
        <v>169</v>
      </c>
      <c r="C265" s="32" t="s">
        <v>138</v>
      </c>
      <c r="D265" s="4"/>
      <c r="E265" s="183">
        <v>128</v>
      </c>
      <c r="F265" s="262">
        <f t="shared" si="44"/>
        <v>156.16</v>
      </c>
      <c r="G265" s="194"/>
      <c r="H265" s="25"/>
      <c r="I265" s="25"/>
      <c r="J265" s="247"/>
      <c r="K265" s="247"/>
      <c r="L265" s="189"/>
    </row>
    <row r="266" spans="1:12" s="1" customFormat="1" ht="15.6">
      <c r="A266" s="2">
        <v>46305</v>
      </c>
      <c r="B266" s="3" t="s">
        <v>169</v>
      </c>
      <c r="C266" s="32" t="s">
        <v>138</v>
      </c>
      <c r="D266" s="4"/>
      <c r="E266" s="183">
        <v>128</v>
      </c>
      <c r="F266" s="262">
        <f t="shared" ref="F266" si="46">E266+((E266*22)/100)</f>
        <v>156.16</v>
      </c>
      <c r="G266" s="194"/>
      <c r="H266" s="25"/>
      <c r="I266" s="25"/>
      <c r="J266" s="247"/>
      <c r="K266" s="247"/>
      <c r="L266" s="189"/>
    </row>
    <row r="267" spans="1:12" s="1" customFormat="1" ht="15.6">
      <c r="A267" s="2">
        <v>46305</v>
      </c>
      <c r="B267" s="3" t="s">
        <v>169</v>
      </c>
      <c r="C267" s="32" t="s">
        <v>138</v>
      </c>
      <c r="D267" s="4"/>
      <c r="E267" s="183">
        <v>128</v>
      </c>
      <c r="F267" s="262">
        <f t="shared" si="44"/>
        <v>156.16</v>
      </c>
      <c r="G267" s="194"/>
      <c r="H267" s="25"/>
      <c r="I267" s="25"/>
      <c r="J267" s="247"/>
      <c r="K267" s="247"/>
      <c r="L267" s="189"/>
    </row>
    <row r="268" spans="1:12" s="1" customFormat="1" ht="15.6">
      <c r="A268" s="2">
        <v>46305</v>
      </c>
      <c r="B268" s="3" t="s">
        <v>169</v>
      </c>
      <c r="C268" s="32" t="s">
        <v>129</v>
      </c>
      <c r="D268" s="4"/>
      <c r="E268" s="183">
        <v>128</v>
      </c>
      <c r="F268" s="262">
        <f t="shared" si="44"/>
        <v>156.16</v>
      </c>
      <c r="G268" s="194"/>
      <c r="H268" s="25"/>
      <c r="I268" s="25"/>
      <c r="J268" s="247"/>
      <c r="K268" s="247"/>
      <c r="L268" s="189"/>
    </row>
    <row r="269" spans="1:12" s="1" customFormat="1" ht="15.6">
      <c r="A269" s="2">
        <v>46305</v>
      </c>
      <c r="B269" s="3" t="s">
        <v>169</v>
      </c>
      <c r="C269" s="32" t="s">
        <v>88</v>
      </c>
      <c r="D269" s="4"/>
      <c r="E269" s="183">
        <v>128</v>
      </c>
      <c r="F269" s="262">
        <f t="shared" si="44"/>
        <v>156.16</v>
      </c>
      <c r="G269" s="194"/>
      <c r="H269" s="25"/>
      <c r="I269" s="25"/>
      <c r="J269" s="247"/>
      <c r="K269" s="247"/>
      <c r="L269" s="189"/>
    </row>
    <row r="270" spans="1:12" s="1" customFormat="1" ht="15.6">
      <c r="A270" s="2">
        <v>46305</v>
      </c>
      <c r="B270" s="3" t="s">
        <v>169</v>
      </c>
      <c r="C270" s="32" t="s">
        <v>88</v>
      </c>
      <c r="D270" s="4"/>
      <c r="E270" s="183">
        <v>128</v>
      </c>
      <c r="F270" s="263">
        <f t="shared" si="44"/>
        <v>156.16</v>
      </c>
      <c r="G270" s="194"/>
      <c r="H270" s="25"/>
      <c r="I270" s="25"/>
      <c r="J270" s="267"/>
      <c r="K270" s="267"/>
      <c r="L270" s="189"/>
    </row>
    <row r="271" spans="1:12" s="1" customFormat="1" ht="15.6">
      <c r="A271" s="2">
        <v>46307</v>
      </c>
      <c r="B271" s="3" t="s">
        <v>169</v>
      </c>
      <c r="C271" s="32" t="s">
        <v>155</v>
      </c>
      <c r="D271" s="4"/>
      <c r="E271" s="183">
        <v>128</v>
      </c>
      <c r="F271" s="263">
        <f t="shared" ref="F271" si="47">E271+((E271*22)/100)</f>
        <v>156.16</v>
      </c>
      <c r="G271" s="261"/>
      <c r="H271" s="31"/>
      <c r="I271" s="264"/>
      <c r="J271" s="267"/>
      <c r="K271" s="267"/>
      <c r="L271" s="189"/>
    </row>
    <row r="272" spans="1:12" s="1" customFormat="1" ht="15.6">
      <c r="A272" s="2">
        <v>46305</v>
      </c>
      <c r="B272" s="3" t="s">
        <v>169</v>
      </c>
      <c r="C272" s="32" t="s">
        <v>106</v>
      </c>
      <c r="D272" s="4"/>
      <c r="E272" s="184">
        <v>128</v>
      </c>
      <c r="F272" s="184">
        <f t="shared" si="44"/>
        <v>156.16</v>
      </c>
      <c r="G272" s="261"/>
      <c r="H272" s="31"/>
      <c r="I272" s="264"/>
      <c r="J272" s="247"/>
      <c r="K272" s="247"/>
      <c r="L272" s="189"/>
    </row>
    <row r="273" spans="1:12">
      <c r="A273" s="2">
        <v>46305</v>
      </c>
      <c r="B273" s="3" t="s">
        <v>169</v>
      </c>
      <c r="C273" s="32" t="s">
        <v>106</v>
      </c>
      <c r="D273" s="4"/>
      <c r="E273" s="184">
        <v>128</v>
      </c>
      <c r="F273" s="184">
        <f t="shared" si="44"/>
        <v>156.16</v>
      </c>
      <c r="G273" s="178"/>
      <c r="H273" s="179"/>
      <c r="I273" s="265"/>
      <c r="J273" s="178"/>
      <c r="K273" s="178"/>
      <c r="L273" s="190"/>
    </row>
    <row r="274" spans="1:12">
      <c r="A274" s="2">
        <v>46305</v>
      </c>
      <c r="B274" s="3" t="s">
        <v>169</v>
      </c>
      <c r="C274" s="32" t="s">
        <v>61</v>
      </c>
      <c r="D274" s="4"/>
      <c r="E274" s="184">
        <v>128</v>
      </c>
      <c r="F274" s="184">
        <f t="shared" si="44"/>
        <v>156.16</v>
      </c>
      <c r="G274" s="155" t="s">
        <v>240</v>
      </c>
      <c r="H274" s="179"/>
      <c r="I274" s="265"/>
      <c r="J274" s="178"/>
      <c r="K274" s="178"/>
      <c r="L274" s="190"/>
    </row>
    <row r="275" spans="1:12">
      <c r="A275" s="2">
        <v>46307</v>
      </c>
      <c r="B275" s="3" t="s">
        <v>169</v>
      </c>
      <c r="C275" s="32" t="s">
        <v>129</v>
      </c>
      <c r="D275" s="4"/>
      <c r="E275" s="184">
        <v>128</v>
      </c>
      <c r="F275" s="184">
        <f t="shared" ref="F275:F276" si="48">E275+((E275*22)/100)</f>
        <v>156.16</v>
      </c>
      <c r="G275" s="11" t="s">
        <v>487</v>
      </c>
      <c r="H275" s="179"/>
      <c r="I275" s="265"/>
      <c r="J275" s="178"/>
      <c r="K275" s="178"/>
      <c r="L275" s="190"/>
    </row>
    <row r="276" spans="1:12">
      <c r="A276" s="2">
        <v>46307</v>
      </c>
      <c r="B276" s="3" t="s">
        <v>169</v>
      </c>
      <c r="C276" s="32" t="s">
        <v>117</v>
      </c>
      <c r="D276" s="4"/>
      <c r="E276" s="184">
        <v>128</v>
      </c>
      <c r="F276" s="184">
        <f t="shared" si="48"/>
        <v>156.16</v>
      </c>
      <c r="G276" s="11"/>
      <c r="H276" s="179"/>
      <c r="I276" s="265"/>
      <c r="J276" s="178"/>
      <c r="K276" s="178"/>
      <c r="L276" s="190"/>
    </row>
    <row r="277" spans="1:12">
      <c r="A277" s="2">
        <v>46307</v>
      </c>
      <c r="B277" s="3" t="s">
        <v>169</v>
      </c>
      <c r="C277" s="32" t="s">
        <v>99</v>
      </c>
      <c r="D277" s="4"/>
      <c r="E277" s="184">
        <v>128</v>
      </c>
      <c r="F277" s="184">
        <f t="shared" ref="F277" si="49">E277+((E277*22)/100)</f>
        <v>156.16</v>
      </c>
      <c r="G277" s="11"/>
      <c r="H277" s="179"/>
      <c r="I277" s="265"/>
      <c r="J277" s="178"/>
      <c r="K277" s="178"/>
      <c r="L277" s="190"/>
    </row>
    <row r="278" spans="1:12">
      <c r="A278" s="2">
        <v>46305</v>
      </c>
      <c r="B278" s="3" t="s">
        <v>169</v>
      </c>
      <c r="C278" s="32" t="s">
        <v>137</v>
      </c>
      <c r="D278" s="4"/>
      <c r="E278" s="184">
        <v>128</v>
      </c>
      <c r="F278" s="184">
        <f t="shared" ref="F278:F287" si="50">E278+((E278*22)/100)</f>
        <v>156.16</v>
      </c>
      <c r="G278" s="11"/>
      <c r="H278" s="179"/>
      <c r="I278" s="265"/>
      <c r="J278" s="178"/>
      <c r="K278" s="178"/>
      <c r="L278" s="190"/>
    </row>
    <row r="279" spans="1:12">
      <c r="A279" s="2">
        <v>46306</v>
      </c>
      <c r="B279" s="3" t="s">
        <v>171</v>
      </c>
      <c r="C279" s="32" t="s">
        <v>138</v>
      </c>
      <c r="D279" s="4"/>
      <c r="E279" s="11">
        <v>120</v>
      </c>
      <c r="F279" s="11">
        <f t="shared" si="50"/>
        <v>146.4</v>
      </c>
      <c r="G279" s="11"/>
      <c r="H279" s="179"/>
      <c r="I279" s="265"/>
      <c r="J279" s="178"/>
      <c r="K279" s="178"/>
      <c r="L279" s="190"/>
    </row>
    <row r="280" spans="1:12">
      <c r="A280" s="2">
        <v>46306</v>
      </c>
      <c r="B280" s="3" t="s">
        <v>171</v>
      </c>
      <c r="C280" s="32" t="s">
        <v>129</v>
      </c>
      <c r="D280" s="4"/>
      <c r="E280" s="11">
        <v>120</v>
      </c>
      <c r="F280" s="11">
        <f t="shared" ref="F280:F281" si="51">E280+((E280*22)/100)</f>
        <v>146.4</v>
      </c>
      <c r="G280" s="11"/>
      <c r="H280" s="179"/>
      <c r="I280" s="265"/>
      <c r="J280" s="178"/>
      <c r="K280" s="178"/>
      <c r="L280" s="190"/>
    </row>
    <row r="281" spans="1:12">
      <c r="A281" s="2">
        <v>46306</v>
      </c>
      <c r="B281" s="3" t="s">
        <v>171</v>
      </c>
      <c r="C281" s="32" t="s">
        <v>117</v>
      </c>
      <c r="D281" s="4"/>
      <c r="E281" s="11">
        <v>120</v>
      </c>
      <c r="F281" s="11">
        <f t="shared" si="51"/>
        <v>146.4</v>
      </c>
      <c r="G281" s="11"/>
      <c r="H281" s="179"/>
      <c r="I281" s="265"/>
      <c r="J281" s="178"/>
      <c r="K281" s="178"/>
      <c r="L281" s="190"/>
    </row>
    <row r="282" spans="1:12">
      <c r="A282" s="2">
        <v>46306</v>
      </c>
      <c r="B282" s="3" t="s">
        <v>171</v>
      </c>
      <c r="C282" s="32" t="s">
        <v>129</v>
      </c>
      <c r="D282" s="4"/>
      <c r="E282" s="11">
        <v>120</v>
      </c>
      <c r="F282" s="11">
        <f t="shared" si="50"/>
        <v>146.4</v>
      </c>
      <c r="G282" s="11" t="s">
        <v>487</v>
      </c>
      <c r="H282" s="179"/>
      <c r="I282" s="265"/>
      <c r="J282" s="178"/>
      <c r="K282" s="178"/>
      <c r="L282" s="190"/>
    </row>
    <row r="283" spans="1:12">
      <c r="A283" s="2">
        <v>46306</v>
      </c>
      <c r="B283" s="3" t="s">
        <v>171</v>
      </c>
      <c r="C283" s="32" t="s">
        <v>137</v>
      </c>
      <c r="D283" s="4"/>
      <c r="E283" s="11">
        <v>120</v>
      </c>
      <c r="F283" s="11">
        <f t="shared" si="50"/>
        <v>146.4</v>
      </c>
      <c r="G283" s="11"/>
      <c r="H283" s="179"/>
      <c r="I283" s="265"/>
      <c r="J283" s="178"/>
      <c r="K283" s="178"/>
      <c r="L283" s="190"/>
    </row>
    <row r="284" spans="1:12">
      <c r="A284" s="2">
        <v>46307</v>
      </c>
      <c r="B284" s="3" t="s">
        <v>172</v>
      </c>
      <c r="C284" s="32" t="s">
        <v>155</v>
      </c>
      <c r="D284" s="4"/>
      <c r="E284" s="11">
        <v>65</v>
      </c>
      <c r="F284" s="11">
        <f t="shared" si="50"/>
        <v>79.3</v>
      </c>
      <c r="G284" s="11"/>
      <c r="H284" s="179"/>
      <c r="I284" s="265"/>
      <c r="J284" s="178"/>
      <c r="K284" s="178"/>
      <c r="L284" s="190"/>
    </row>
    <row r="285" spans="1:12">
      <c r="A285" s="2">
        <v>46307</v>
      </c>
      <c r="B285" s="3" t="s">
        <v>172</v>
      </c>
      <c r="C285" s="32" t="s">
        <v>129</v>
      </c>
      <c r="D285" s="4"/>
      <c r="E285" s="11">
        <v>65</v>
      </c>
      <c r="F285" s="11">
        <f t="shared" si="50"/>
        <v>79.3</v>
      </c>
      <c r="G285" s="11"/>
      <c r="H285" s="179"/>
      <c r="I285" s="265"/>
      <c r="J285" s="178"/>
      <c r="K285" s="178"/>
      <c r="L285" s="190"/>
    </row>
    <row r="286" spans="1:12">
      <c r="A286" s="2">
        <v>46307</v>
      </c>
      <c r="B286" s="3" t="s">
        <v>172</v>
      </c>
      <c r="C286" s="32" t="s">
        <v>117</v>
      </c>
      <c r="D286" s="4"/>
      <c r="E286" s="11">
        <v>65</v>
      </c>
      <c r="F286" s="11">
        <f t="shared" ref="F286" si="52">E286+((E286*22)/100)</f>
        <v>79.3</v>
      </c>
      <c r="G286" s="11"/>
      <c r="H286" s="179"/>
      <c r="I286" s="265"/>
      <c r="J286" s="178"/>
      <c r="K286" s="178"/>
      <c r="L286" s="190"/>
    </row>
    <row r="287" spans="1:12">
      <c r="A287" s="2">
        <v>46307</v>
      </c>
      <c r="B287" s="3" t="s">
        <v>172</v>
      </c>
      <c r="C287" s="32" t="s">
        <v>137</v>
      </c>
      <c r="D287" s="4"/>
      <c r="E287" s="11">
        <v>65</v>
      </c>
      <c r="F287" s="11">
        <f t="shared" si="50"/>
        <v>79.3</v>
      </c>
      <c r="G287" s="11"/>
      <c r="H287" s="179"/>
      <c r="I287" s="265"/>
      <c r="J287" s="178"/>
      <c r="K287" s="178"/>
      <c r="L287" s="190"/>
    </row>
    <row r="288" spans="1:12">
      <c r="A288" s="2">
        <v>46305</v>
      </c>
      <c r="B288" s="3" t="s">
        <v>211</v>
      </c>
      <c r="C288" s="32"/>
      <c r="D288" s="4"/>
      <c r="E288" s="11">
        <f>70*25</f>
        <v>1750</v>
      </c>
      <c r="F288" s="11">
        <f t="shared" si="44"/>
        <v>2135</v>
      </c>
      <c r="G288" s="11"/>
      <c r="H288" s="25"/>
      <c r="I288" s="266"/>
      <c r="J288" s="178"/>
      <c r="K288" s="178"/>
      <c r="L288" s="190"/>
    </row>
    <row r="289" spans="1:11" ht="15.6">
      <c r="A289" s="28">
        <v>46296</v>
      </c>
      <c r="B289" s="191"/>
      <c r="C289" s="192"/>
      <c r="D289" s="218" t="s">
        <v>178</v>
      </c>
      <c r="E289" s="193">
        <f>SUM(E288)</f>
        <v>1750</v>
      </c>
      <c r="F289" s="193">
        <f t="shared" ref="F289" si="53">E289+((E289*22)/100)</f>
        <v>2135</v>
      </c>
      <c r="G289" s="333"/>
      <c r="H289" s="334"/>
      <c r="I289" s="334"/>
      <c r="J289" s="334"/>
      <c r="K289" s="334"/>
    </row>
    <row r="309" spans="1:9">
      <c r="A309" s="2">
        <v>46388</v>
      </c>
      <c r="B309" s="3" t="s">
        <v>169</v>
      </c>
      <c r="C309" s="32" t="s">
        <v>129</v>
      </c>
      <c r="D309" s="4" t="s">
        <v>217</v>
      </c>
      <c r="E309" s="11">
        <v>128</v>
      </c>
      <c r="F309" s="11">
        <f t="shared" ref="F309:F310" si="54">E309+((E309*22)/100)</f>
        <v>156.16</v>
      </c>
      <c r="G309" s="178"/>
      <c r="H309" s="179"/>
      <c r="I309" s="179"/>
    </row>
    <row r="310" spans="1:9" ht="15.6">
      <c r="A310" s="2">
        <v>46388</v>
      </c>
      <c r="B310" s="50"/>
      <c r="C310" s="49"/>
      <c r="D310" s="216" t="s">
        <v>178</v>
      </c>
      <c r="E310" s="38">
        <f>SUM(E309)</f>
        <v>128</v>
      </c>
      <c r="F310" s="38">
        <f t="shared" si="54"/>
        <v>156.16</v>
      </c>
      <c r="G310" s="38"/>
      <c r="H310" s="42"/>
      <c r="I310" s="42"/>
    </row>
  </sheetData>
  <autoFilter ref="A2:K2" xr:uid="{9AE98D29-E934-4479-AE53-7A212B14D6E5}"/>
  <mergeCells count="20">
    <mergeCell ref="J140:K150"/>
    <mergeCell ref="G161:J161"/>
    <mergeCell ref="G195:K195"/>
    <mergeCell ref="A1:K1"/>
    <mergeCell ref="G289:K289"/>
    <mergeCell ref="G139:J139"/>
    <mergeCell ref="G126:K126"/>
    <mergeCell ref="G94:K94"/>
    <mergeCell ref="K79:K89"/>
    <mergeCell ref="J84:J89"/>
    <mergeCell ref="K96:K98"/>
    <mergeCell ref="K106:K107"/>
    <mergeCell ref="J109:K118"/>
    <mergeCell ref="G261:K261"/>
    <mergeCell ref="G237:K237"/>
    <mergeCell ref="G209:K209"/>
    <mergeCell ref="G176:K176"/>
    <mergeCell ref="G155:K155"/>
    <mergeCell ref="G135:K135"/>
    <mergeCell ref="J131:K131"/>
  </mergeCells>
  <phoneticPr fontId="2" type="noConversion"/>
  <dataValidations count="1">
    <dataValidation type="list" allowBlank="1" showInputMessage="1" showErrorMessage="1" sqref="H2:I4 H177:I188 H15:I73 H6:I10 H210:I230 H238:I254 H256:I260 H232:I236 H290:I1048576 H127:I134 H140:I154 H136:I138 H190:I194 H196:I208 H262:I288 H75:I93 H162:I175 H156:H159 I156:I160 H95:I125" xr:uid="{D2594940-2AC1-4237-9305-2C5A285EF2B0}">
      <formula1>#REF!</formula1>
    </dataValidation>
  </dataValidations>
  <pageMargins left="0.7" right="0.7" top="0.75" bottom="0.75" header="0.3" footer="0.3"/>
  <pageSetup paperSize="9" scale="35" fitToWidth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BEC8-3F0A-441E-AF51-A46D0243A6EB}">
  <dimension ref="A1:AQ94"/>
  <sheetViews>
    <sheetView workbookViewId="0">
      <selection activeCell="P18" sqref="P18"/>
    </sheetView>
  </sheetViews>
  <sheetFormatPr defaultRowHeight="15.6"/>
  <cols>
    <col min="1" max="1" width="17.59765625" bestFit="1" customWidth="1"/>
    <col min="2" max="2" width="23.3984375" bestFit="1" customWidth="1"/>
    <col min="3" max="3" width="57" customWidth="1"/>
    <col min="4" max="4" width="31.69921875" customWidth="1"/>
    <col min="5" max="5" width="13" bestFit="1" customWidth="1"/>
    <col min="6" max="6" width="15.3984375" bestFit="1" customWidth="1"/>
    <col min="7" max="7" width="14" bestFit="1" customWidth="1"/>
    <col min="8" max="8" width="18" bestFit="1" customWidth="1"/>
    <col min="9" max="9" width="20.3984375" bestFit="1" customWidth="1"/>
    <col min="10" max="10" width="24.19921875" bestFit="1" customWidth="1"/>
    <col min="11" max="11" width="25.5" bestFit="1" customWidth="1"/>
    <col min="12" max="12" width="16.296875" bestFit="1" customWidth="1"/>
  </cols>
  <sheetData>
    <row r="1" spans="1:43" ht="17.399999999999999">
      <c r="A1" s="105" t="s">
        <v>242</v>
      </c>
      <c r="B1" s="105" t="s">
        <v>243</v>
      </c>
      <c r="C1" s="105" t="s">
        <v>244</v>
      </c>
      <c r="D1" s="105" t="s">
        <v>245</v>
      </c>
      <c r="E1" s="105" t="s">
        <v>246</v>
      </c>
      <c r="F1" s="105" t="s">
        <v>247</v>
      </c>
      <c r="G1" s="106" t="s">
        <v>248</v>
      </c>
      <c r="H1" s="106" t="s">
        <v>249</v>
      </c>
      <c r="I1" s="105" t="s">
        <v>11</v>
      </c>
      <c r="J1" s="105" t="s">
        <v>250</v>
      </c>
      <c r="K1" s="105" t="s">
        <v>251</v>
      </c>
      <c r="L1" s="105" t="s">
        <v>252</v>
      </c>
    </row>
    <row r="2" spans="1:43" ht="16.2">
      <c r="A2" s="103"/>
      <c r="B2" s="103"/>
      <c r="C2" s="103" t="s">
        <v>257</v>
      </c>
      <c r="D2" s="103" t="s">
        <v>260</v>
      </c>
      <c r="E2" s="103">
        <v>0</v>
      </c>
      <c r="F2" s="331" t="s">
        <v>64</v>
      </c>
      <c r="G2" s="104">
        <v>46135.672222221998</v>
      </c>
      <c r="H2" s="332"/>
      <c r="I2" s="104"/>
      <c r="J2" s="104"/>
      <c r="K2" s="104" t="s">
        <v>259</v>
      </c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  <c r="AG2" s="330"/>
      <c r="AH2" s="330"/>
      <c r="AI2" s="330"/>
      <c r="AJ2" s="330"/>
      <c r="AK2" s="330"/>
      <c r="AL2" s="330"/>
      <c r="AM2" s="330"/>
      <c r="AN2" s="330"/>
      <c r="AO2" s="330"/>
      <c r="AP2" s="330"/>
      <c r="AQ2" s="330"/>
    </row>
    <row r="3" spans="1:43" ht="16.2">
      <c r="A3" s="103"/>
      <c r="B3" s="103"/>
      <c r="C3" s="103" t="s">
        <v>532</v>
      </c>
      <c r="D3" s="103" t="s">
        <v>264</v>
      </c>
      <c r="E3" s="103">
        <v>9</v>
      </c>
      <c r="F3" s="331" t="s">
        <v>64</v>
      </c>
      <c r="G3" s="104">
        <v>46135.653877315002</v>
      </c>
      <c r="H3" s="332"/>
      <c r="I3" s="104"/>
      <c r="J3" s="104"/>
      <c r="K3" s="104" t="s">
        <v>267</v>
      </c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330"/>
      <c r="AE3" s="330"/>
      <c r="AF3" s="330"/>
      <c r="AG3" s="330"/>
      <c r="AH3" s="330"/>
      <c r="AI3" s="330"/>
      <c r="AJ3" s="330"/>
      <c r="AK3" s="330"/>
      <c r="AL3" s="330"/>
      <c r="AM3" s="330"/>
      <c r="AN3" s="330"/>
      <c r="AO3" s="330"/>
      <c r="AP3" s="330"/>
      <c r="AQ3" s="330"/>
    </row>
    <row r="4" spans="1:43" ht="16.2">
      <c r="A4" s="103"/>
      <c r="B4" s="103"/>
      <c r="C4" s="103" t="s">
        <v>253</v>
      </c>
      <c r="D4" s="103" t="s">
        <v>258</v>
      </c>
      <c r="E4" s="103">
        <v>0</v>
      </c>
      <c r="F4" s="331" t="s">
        <v>64</v>
      </c>
      <c r="G4" s="104">
        <v>46135.634004630003</v>
      </c>
      <c r="H4" s="332"/>
      <c r="I4" s="104"/>
      <c r="J4" s="104"/>
      <c r="K4" s="104" t="s">
        <v>533</v>
      </c>
      <c r="L4" s="330"/>
      <c r="M4" s="330"/>
      <c r="N4" s="330"/>
      <c r="O4" s="330"/>
      <c r="P4" s="330"/>
      <c r="Q4" s="330"/>
      <c r="R4" s="330"/>
      <c r="S4" s="330"/>
      <c r="T4" s="330"/>
      <c r="U4" s="330"/>
      <c r="V4" s="330"/>
      <c r="W4" s="330"/>
      <c r="X4" s="330"/>
      <c r="Y4" s="330"/>
      <c r="Z4" s="330"/>
      <c r="AA4" s="330"/>
      <c r="AB4" s="330"/>
      <c r="AC4" s="330"/>
      <c r="AD4" s="330"/>
      <c r="AE4" s="330"/>
      <c r="AF4" s="330"/>
      <c r="AG4" s="330"/>
      <c r="AH4" s="330"/>
      <c r="AI4" s="330"/>
      <c r="AJ4" s="330"/>
      <c r="AK4" s="330"/>
      <c r="AL4" s="330"/>
      <c r="AM4" s="330"/>
      <c r="AN4" s="330"/>
      <c r="AO4" s="330"/>
      <c r="AP4" s="330"/>
      <c r="AQ4" s="330"/>
    </row>
    <row r="5" spans="1:43" ht="16.2">
      <c r="A5" s="103"/>
      <c r="B5" s="103"/>
      <c r="C5" s="103" t="s">
        <v>253</v>
      </c>
      <c r="D5" s="103" t="s">
        <v>303</v>
      </c>
      <c r="E5" s="103">
        <v>0</v>
      </c>
      <c r="F5" s="331" t="s">
        <v>64</v>
      </c>
      <c r="G5" s="104">
        <v>46135.634004630003</v>
      </c>
      <c r="H5" s="332"/>
      <c r="I5" s="104"/>
      <c r="J5" s="103"/>
      <c r="K5" s="104" t="s">
        <v>534</v>
      </c>
      <c r="L5" s="330"/>
      <c r="M5" s="330"/>
      <c r="N5" s="330"/>
      <c r="O5" s="330"/>
      <c r="P5" s="330"/>
      <c r="Q5" s="330"/>
      <c r="R5" s="330"/>
      <c r="S5" s="330"/>
      <c r="T5" s="330"/>
      <c r="U5" s="330"/>
      <c r="V5" s="330"/>
      <c r="W5" s="330"/>
      <c r="X5" s="330"/>
      <c r="Y5" s="330"/>
      <c r="Z5" s="330"/>
      <c r="AA5" s="330"/>
      <c r="AB5" s="330"/>
      <c r="AC5" s="330"/>
      <c r="AD5" s="330"/>
      <c r="AE5" s="330"/>
      <c r="AF5" s="330"/>
      <c r="AG5" s="330"/>
      <c r="AH5" s="330"/>
      <c r="AI5" s="330"/>
      <c r="AJ5" s="330"/>
      <c r="AK5" s="330"/>
      <c r="AL5" s="330"/>
      <c r="AM5" s="330"/>
      <c r="AN5" s="330"/>
      <c r="AO5" s="330"/>
      <c r="AP5" s="330"/>
      <c r="AQ5" s="330"/>
    </row>
    <row r="6" spans="1:43" ht="16.2">
      <c r="A6" s="103"/>
      <c r="B6" s="103"/>
      <c r="C6" s="103" t="s">
        <v>272</v>
      </c>
      <c r="D6" s="103" t="s">
        <v>270</v>
      </c>
      <c r="E6" s="103">
        <v>0</v>
      </c>
      <c r="F6" s="331" t="s">
        <v>64</v>
      </c>
      <c r="G6" s="104">
        <v>46135.631550926002</v>
      </c>
      <c r="H6" s="332"/>
      <c r="I6" s="104"/>
      <c r="J6" s="104"/>
      <c r="K6" s="104" t="s">
        <v>70</v>
      </c>
      <c r="L6" s="330"/>
      <c r="M6" s="330"/>
      <c r="N6" s="330"/>
      <c r="O6" s="330"/>
      <c r="P6" s="330"/>
      <c r="Q6" s="330"/>
      <c r="R6" s="330"/>
      <c r="S6" s="330"/>
      <c r="T6" s="330"/>
      <c r="U6" s="330"/>
      <c r="V6" s="330"/>
      <c r="W6" s="330"/>
      <c r="X6" s="330"/>
      <c r="Y6" s="330"/>
      <c r="Z6" s="330"/>
      <c r="AA6" s="330"/>
      <c r="AB6" s="330"/>
      <c r="AC6" s="330"/>
      <c r="AD6" s="330"/>
      <c r="AE6" s="330"/>
      <c r="AF6" s="330"/>
      <c r="AG6" s="330"/>
      <c r="AH6" s="330"/>
      <c r="AI6" s="330"/>
      <c r="AJ6" s="330"/>
      <c r="AK6" s="330"/>
      <c r="AL6" s="330"/>
      <c r="AM6" s="330"/>
      <c r="AN6" s="330"/>
      <c r="AO6" s="330"/>
      <c r="AP6" s="330"/>
      <c r="AQ6" s="330"/>
    </row>
    <row r="7" spans="1:43" ht="16.2">
      <c r="A7" s="103"/>
      <c r="B7" s="103"/>
      <c r="C7" s="103" t="s">
        <v>272</v>
      </c>
      <c r="D7" s="103" t="s">
        <v>260</v>
      </c>
      <c r="E7" s="103">
        <v>0</v>
      </c>
      <c r="F7" s="331" t="s">
        <v>64</v>
      </c>
      <c r="G7" s="104">
        <v>46135.631550926002</v>
      </c>
      <c r="H7" s="332"/>
      <c r="I7" s="104"/>
      <c r="J7" s="104"/>
      <c r="K7" s="104" t="s">
        <v>70</v>
      </c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30"/>
      <c r="AK7" s="330"/>
      <c r="AL7" s="330"/>
      <c r="AM7" s="330"/>
      <c r="AN7" s="330"/>
      <c r="AO7" s="330"/>
      <c r="AP7" s="330"/>
      <c r="AQ7" s="330"/>
    </row>
    <row r="8" spans="1:43" ht="16.2">
      <c r="A8" s="103"/>
      <c r="B8" s="103"/>
      <c r="C8" s="103" t="s">
        <v>466</v>
      </c>
      <c r="D8" s="103" t="s">
        <v>262</v>
      </c>
      <c r="E8" s="103">
        <v>0</v>
      </c>
      <c r="F8" s="103" t="s">
        <v>64</v>
      </c>
      <c r="G8" s="104">
        <v>46100.416481480999</v>
      </c>
      <c r="H8" s="104"/>
      <c r="I8" s="104"/>
      <c r="J8" s="104"/>
      <c r="K8" s="104" t="s">
        <v>266</v>
      </c>
      <c r="L8" s="103"/>
    </row>
    <row r="9" spans="1:43" ht="16.2">
      <c r="A9" s="103"/>
      <c r="B9" s="103"/>
      <c r="C9" s="103" t="s">
        <v>466</v>
      </c>
      <c r="D9" s="103" t="s">
        <v>286</v>
      </c>
      <c r="E9" s="103">
        <v>36</v>
      </c>
      <c r="F9" s="103" t="s">
        <v>64</v>
      </c>
      <c r="G9" s="104">
        <v>46100.415902777997</v>
      </c>
      <c r="H9" s="104"/>
      <c r="I9" s="104"/>
      <c r="J9" s="104"/>
      <c r="K9" s="104" t="s">
        <v>266</v>
      </c>
      <c r="L9" s="103"/>
    </row>
    <row r="10" spans="1:43" ht="16.2">
      <c r="A10" s="103"/>
      <c r="B10" s="103"/>
      <c r="C10" s="103" t="s">
        <v>466</v>
      </c>
      <c r="D10" s="103" t="s">
        <v>274</v>
      </c>
      <c r="E10" s="103">
        <v>14</v>
      </c>
      <c r="F10" s="103" t="s">
        <v>64</v>
      </c>
      <c r="G10" s="104">
        <v>46100.414918980998</v>
      </c>
      <c r="H10" s="104"/>
      <c r="I10" s="104"/>
      <c r="J10" s="103"/>
      <c r="K10" s="104" t="s">
        <v>266</v>
      </c>
      <c r="L10" s="103"/>
    </row>
    <row r="11" spans="1:43" ht="16.2">
      <c r="A11" s="103"/>
      <c r="B11" s="103"/>
      <c r="C11" s="103" t="s">
        <v>257</v>
      </c>
      <c r="D11" s="103" t="s">
        <v>254</v>
      </c>
      <c r="E11" s="103">
        <v>0</v>
      </c>
      <c r="F11" s="103" t="s">
        <v>64</v>
      </c>
      <c r="G11" s="104">
        <v>46100.413703703998</v>
      </c>
      <c r="H11" s="104"/>
      <c r="I11" s="104"/>
      <c r="J11" s="104"/>
      <c r="K11" s="104" t="s">
        <v>259</v>
      </c>
      <c r="L11" s="103"/>
    </row>
    <row r="12" spans="1:43" ht="16.2">
      <c r="A12" s="103"/>
      <c r="B12" s="103"/>
      <c r="C12" s="103" t="s">
        <v>255</v>
      </c>
      <c r="D12" s="103" t="s">
        <v>262</v>
      </c>
      <c r="E12" s="103">
        <v>42</v>
      </c>
      <c r="F12" s="103" t="s">
        <v>64</v>
      </c>
      <c r="G12" s="104">
        <v>46098.442824074002</v>
      </c>
      <c r="H12" s="104"/>
      <c r="I12" s="104"/>
      <c r="J12" s="104"/>
      <c r="K12" s="104" t="s">
        <v>70</v>
      </c>
      <c r="L12" s="103"/>
    </row>
    <row r="13" spans="1:43" ht="16.2">
      <c r="A13" s="103"/>
      <c r="B13" s="103"/>
      <c r="C13" s="103" t="s">
        <v>467</v>
      </c>
      <c r="D13" s="103" t="s">
        <v>263</v>
      </c>
      <c r="E13" s="103">
        <v>54</v>
      </c>
      <c r="F13" s="103" t="s">
        <v>64</v>
      </c>
      <c r="G13" s="104">
        <v>46098.442453704003</v>
      </c>
      <c r="H13" s="104"/>
      <c r="I13" s="104"/>
      <c r="J13" s="104"/>
      <c r="K13" s="104" t="s">
        <v>78</v>
      </c>
      <c r="L13" s="103"/>
    </row>
    <row r="14" spans="1:43" ht="16.2">
      <c r="A14" s="103"/>
      <c r="B14" s="103"/>
      <c r="C14" s="103" t="s">
        <v>255</v>
      </c>
      <c r="D14" s="103" t="s">
        <v>263</v>
      </c>
      <c r="E14" s="103">
        <v>27</v>
      </c>
      <c r="F14" s="103" t="s">
        <v>64</v>
      </c>
      <c r="G14" s="104">
        <v>46098.442048611003</v>
      </c>
      <c r="H14" s="104"/>
      <c r="I14" s="104"/>
      <c r="J14" s="104"/>
      <c r="K14" s="104" t="s">
        <v>70</v>
      </c>
      <c r="L14" s="103"/>
    </row>
    <row r="15" spans="1:43" ht="16.2">
      <c r="A15" s="103"/>
      <c r="B15" s="103"/>
      <c r="C15" s="103" t="s">
        <v>285</v>
      </c>
      <c r="D15" s="103" t="s">
        <v>281</v>
      </c>
      <c r="E15" s="103">
        <v>0</v>
      </c>
      <c r="F15" s="103" t="s">
        <v>64</v>
      </c>
      <c r="G15" s="104">
        <v>46091.637256943999</v>
      </c>
      <c r="H15" s="104"/>
      <c r="I15" s="104"/>
      <c r="J15" s="104"/>
      <c r="K15" s="104" t="s">
        <v>469</v>
      </c>
      <c r="L15" s="103"/>
    </row>
    <row r="16" spans="1:43" ht="16.2">
      <c r="A16" s="103"/>
      <c r="B16" s="103"/>
      <c r="C16" s="103" t="s">
        <v>253</v>
      </c>
      <c r="D16" s="103" t="s">
        <v>254</v>
      </c>
      <c r="E16" s="103">
        <v>68</v>
      </c>
      <c r="F16" s="103" t="s">
        <v>64</v>
      </c>
      <c r="G16" s="104">
        <v>46072.639814814996</v>
      </c>
      <c r="H16" s="104"/>
      <c r="I16" s="104"/>
      <c r="J16" s="104"/>
      <c r="K16" s="104" t="s">
        <v>78</v>
      </c>
      <c r="L16" s="103"/>
    </row>
    <row r="17" spans="1:12" ht="16.2">
      <c r="A17" s="103"/>
      <c r="B17" s="103"/>
      <c r="C17" s="103" t="s">
        <v>257</v>
      </c>
      <c r="D17" s="103" t="s">
        <v>265</v>
      </c>
      <c r="E17" s="103">
        <v>59</v>
      </c>
      <c r="F17" s="103" t="s">
        <v>64</v>
      </c>
      <c r="G17" s="104">
        <v>45967.330254629996</v>
      </c>
      <c r="H17" s="104"/>
      <c r="I17" s="104"/>
      <c r="J17" s="104"/>
      <c r="K17" s="104" t="s">
        <v>78</v>
      </c>
      <c r="L17" s="103"/>
    </row>
    <row r="18" spans="1:12" ht="16.2">
      <c r="A18" s="103"/>
      <c r="B18" s="103"/>
      <c r="C18" s="103" t="s">
        <v>257</v>
      </c>
      <c r="D18" s="103" t="s">
        <v>258</v>
      </c>
      <c r="E18" s="103">
        <v>100</v>
      </c>
      <c r="F18" s="103" t="s">
        <v>64</v>
      </c>
      <c r="G18" s="104">
        <v>46055.484675926004</v>
      </c>
      <c r="H18" s="104"/>
      <c r="I18" s="104"/>
      <c r="J18" s="104"/>
      <c r="K18" s="104" t="s">
        <v>259</v>
      </c>
      <c r="L18" s="103"/>
    </row>
    <row r="19" spans="1:12" ht="16.2">
      <c r="A19" s="103"/>
      <c r="B19" s="103"/>
      <c r="C19" s="103" t="s">
        <v>466</v>
      </c>
      <c r="D19" s="103" t="s">
        <v>256</v>
      </c>
      <c r="E19" s="103">
        <v>100</v>
      </c>
      <c r="F19" s="103" t="s">
        <v>278</v>
      </c>
      <c r="G19" s="104">
        <v>46100.417511574</v>
      </c>
      <c r="H19" s="104">
        <v>46104.924328704001</v>
      </c>
      <c r="I19" s="104"/>
      <c r="J19" s="104"/>
      <c r="K19" s="104" t="s">
        <v>78</v>
      </c>
      <c r="L19" s="103" t="s">
        <v>535</v>
      </c>
    </row>
    <row r="20" spans="1:12" ht="16.2">
      <c r="A20" s="103"/>
      <c r="B20" s="103"/>
      <c r="C20" s="103" t="s">
        <v>466</v>
      </c>
      <c r="D20" s="103" t="s">
        <v>268</v>
      </c>
      <c r="E20" s="103">
        <v>100</v>
      </c>
      <c r="F20" s="103" t="s">
        <v>278</v>
      </c>
      <c r="G20" s="104">
        <v>46100.417106481</v>
      </c>
      <c r="H20" s="104">
        <v>46131.510266204001</v>
      </c>
      <c r="I20" s="104"/>
      <c r="J20" s="104"/>
      <c r="K20" s="104" t="s">
        <v>78</v>
      </c>
      <c r="L20" s="103" t="s">
        <v>536</v>
      </c>
    </row>
    <row r="21" spans="1:12" ht="16.2">
      <c r="A21" s="103"/>
      <c r="B21" s="103"/>
      <c r="C21" s="103" t="s">
        <v>257</v>
      </c>
      <c r="D21" s="103" t="s">
        <v>263</v>
      </c>
      <c r="E21" s="103">
        <v>100</v>
      </c>
      <c r="F21" s="103" t="s">
        <v>278</v>
      </c>
      <c r="G21" s="104">
        <v>46100.411990740999</v>
      </c>
      <c r="H21" s="104">
        <v>46108.666886573999</v>
      </c>
      <c r="I21" s="104"/>
      <c r="J21" s="104"/>
      <c r="K21" s="104" t="s">
        <v>266</v>
      </c>
      <c r="L21" s="103" t="s">
        <v>537</v>
      </c>
    </row>
    <row r="22" spans="1:12" ht="16.2">
      <c r="A22" s="103"/>
      <c r="B22" s="103"/>
      <c r="C22" s="103" t="s">
        <v>253</v>
      </c>
      <c r="D22" s="103" t="s">
        <v>260</v>
      </c>
      <c r="E22" s="103">
        <v>100</v>
      </c>
      <c r="F22" s="103" t="s">
        <v>278</v>
      </c>
      <c r="G22" s="104">
        <v>46052.692476851997</v>
      </c>
      <c r="H22" s="104">
        <v>46121.909166666999</v>
      </c>
      <c r="I22" s="104"/>
      <c r="J22" s="104"/>
      <c r="K22" s="104" t="s">
        <v>259</v>
      </c>
      <c r="L22" s="103" t="s">
        <v>538</v>
      </c>
    </row>
    <row r="23" spans="1:12" ht="16.2">
      <c r="A23" s="103"/>
      <c r="B23" s="103"/>
      <c r="C23" s="103" t="s">
        <v>261</v>
      </c>
      <c r="D23" s="103" t="s">
        <v>263</v>
      </c>
      <c r="E23" s="103">
        <v>100</v>
      </c>
      <c r="F23" s="103" t="s">
        <v>278</v>
      </c>
      <c r="G23" s="104">
        <v>46043.457083333</v>
      </c>
      <c r="H23" s="104">
        <v>46111.434224536999</v>
      </c>
      <c r="I23" s="104"/>
      <c r="J23" s="104"/>
      <c r="K23" s="104" t="s">
        <v>78</v>
      </c>
      <c r="L23" s="103" t="s">
        <v>539</v>
      </c>
    </row>
    <row r="24" spans="1:12" ht="16.2">
      <c r="A24" s="103"/>
      <c r="B24" s="103"/>
      <c r="C24" s="103" t="s">
        <v>253</v>
      </c>
      <c r="D24" s="103" t="s">
        <v>264</v>
      </c>
      <c r="E24" s="103">
        <v>100</v>
      </c>
      <c r="F24" s="103" t="s">
        <v>278</v>
      </c>
      <c r="G24" s="104">
        <v>46000.675891204002</v>
      </c>
      <c r="H24" s="104">
        <v>46132.690844907003</v>
      </c>
      <c r="I24" s="104"/>
      <c r="J24" s="104"/>
      <c r="K24" s="104" t="s">
        <v>266</v>
      </c>
      <c r="L24" s="103" t="s">
        <v>540</v>
      </c>
    </row>
    <row r="25" spans="1:12" ht="16.2">
      <c r="A25" s="103"/>
      <c r="B25" s="103"/>
      <c r="C25" s="103" t="s">
        <v>253</v>
      </c>
      <c r="D25" s="103" t="s">
        <v>265</v>
      </c>
      <c r="E25" s="103">
        <v>100</v>
      </c>
      <c r="F25" s="103" t="s">
        <v>278</v>
      </c>
      <c r="G25" s="104">
        <v>46000.675891204002</v>
      </c>
      <c r="H25" s="104">
        <v>46103.929409721997</v>
      </c>
      <c r="I25" s="104"/>
      <c r="J25" s="104"/>
      <c r="K25" s="104" t="s">
        <v>266</v>
      </c>
      <c r="L25" s="103" t="s">
        <v>541</v>
      </c>
    </row>
    <row r="26" spans="1:12" ht="16.2">
      <c r="A26" s="103"/>
      <c r="B26" s="103"/>
      <c r="C26" s="103" t="s">
        <v>257</v>
      </c>
      <c r="D26" s="103" t="s">
        <v>258</v>
      </c>
      <c r="E26" s="103">
        <v>100</v>
      </c>
      <c r="F26" s="103" t="s">
        <v>278</v>
      </c>
      <c r="G26" s="104">
        <v>45967.329861111</v>
      </c>
      <c r="H26" s="104">
        <v>46129.525231480999</v>
      </c>
      <c r="I26" s="104"/>
      <c r="J26" s="104"/>
      <c r="K26" s="104" t="s">
        <v>266</v>
      </c>
      <c r="L26" s="103" t="s">
        <v>542</v>
      </c>
    </row>
    <row r="27" spans="1:12" ht="16.2">
      <c r="A27" s="103"/>
      <c r="B27" s="103"/>
      <c r="C27" s="103" t="s">
        <v>253</v>
      </c>
      <c r="D27" s="103" t="s">
        <v>262</v>
      </c>
      <c r="E27" s="103">
        <v>100</v>
      </c>
      <c r="F27" s="103" t="s">
        <v>278</v>
      </c>
      <c r="G27" s="104">
        <v>46091.638761574002</v>
      </c>
      <c r="H27" s="104">
        <v>46093.731354167001</v>
      </c>
      <c r="I27" s="104"/>
      <c r="J27" s="104"/>
      <c r="K27" s="104" t="s">
        <v>266</v>
      </c>
      <c r="L27" s="103" t="s">
        <v>468</v>
      </c>
    </row>
    <row r="28" spans="1:12" ht="16.2">
      <c r="A28" s="103"/>
      <c r="B28" s="103"/>
      <c r="C28" s="103" t="s">
        <v>285</v>
      </c>
      <c r="D28" s="103" t="s">
        <v>303</v>
      </c>
      <c r="E28" s="103">
        <v>100</v>
      </c>
      <c r="F28" s="103" t="s">
        <v>278</v>
      </c>
      <c r="G28" s="104">
        <v>46091.636550925999</v>
      </c>
      <c r="H28" s="104">
        <v>46099.690821759003</v>
      </c>
      <c r="I28" s="104"/>
      <c r="J28" s="103"/>
      <c r="K28" s="104" t="s">
        <v>470</v>
      </c>
      <c r="L28" s="103" t="s">
        <v>471</v>
      </c>
    </row>
    <row r="29" spans="1:12" ht="16.2">
      <c r="A29" s="103"/>
      <c r="B29" s="103"/>
      <c r="C29" s="103" t="s">
        <v>255</v>
      </c>
      <c r="D29" s="103" t="s">
        <v>256</v>
      </c>
      <c r="E29" s="103">
        <v>100</v>
      </c>
      <c r="F29" s="103" t="s">
        <v>278</v>
      </c>
      <c r="G29" s="104">
        <v>46071.689293980999</v>
      </c>
      <c r="H29" s="104">
        <v>46073.999143519002</v>
      </c>
      <c r="I29" s="104"/>
      <c r="J29" s="104"/>
      <c r="K29" s="104" t="s">
        <v>70</v>
      </c>
      <c r="L29" s="103" t="s">
        <v>465</v>
      </c>
    </row>
    <row r="30" spans="1:12" ht="16.2">
      <c r="A30" s="103"/>
      <c r="B30" s="103"/>
      <c r="C30" s="103" t="s">
        <v>261</v>
      </c>
      <c r="D30" s="103" t="s">
        <v>262</v>
      </c>
      <c r="E30" s="103">
        <v>100</v>
      </c>
      <c r="F30" s="103" t="s">
        <v>278</v>
      </c>
      <c r="G30" s="104">
        <v>46043.457083333</v>
      </c>
      <c r="H30" s="104">
        <v>46085.940451388997</v>
      </c>
      <c r="I30" s="104"/>
      <c r="J30" s="104"/>
      <c r="K30" s="104" t="s">
        <v>70</v>
      </c>
      <c r="L30" s="103" t="s">
        <v>464</v>
      </c>
    </row>
    <row r="31" spans="1:12" ht="16.2">
      <c r="A31" s="103"/>
      <c r="B31" s="103"/>
      <c r="C31" s="103" t="s">
        <v>261</v>
      </c>
      <c r="D31" s="103" t="s">
        <v>263</v>
      </c>
      <c r="E31" s="103">
        <v>100</v>
      </c>
      <c r="F31" s="103" t="s">
        <v>278</v>
      </c>
      <c r="G31" s="104">
        <v>46043.457083333</v>
      </c>
      <c r="H31" s="104">
        <v>46088.783333332998</v>
      </c>
      <c r="I31" s="104"/>
      <c r="J31" s="104"/>
      <c r="K31" s="104" t="s">
        <v>70</v>
      </c>
      <c r="L31" s="103" t="s">
        <v>463</v>
      </c>
    </row>
    <row r="32" spans="1:12" ht="16.2">
      <c r="A32" s="103"/>
      <c r="B32" s="103"/>
      <c r="C32" s="103" t="s">
        <v>253</v>
      </c>
      <c r="D32" s="103" t="s">
        <v>268</v>
      </c>
      <c r="E32" s="103">
        <v>100</v>
      </c>
      <c r="F32" s="103" t="s">
        <v>278</v>
      </c>
      <c r="G32" s="104">
        <v>45937.489618056003</v>
      </c>
      <c r="H32" s="104">
        <v>46075.9378125</v>
      </c>
      <c r="I32" s="103"/>
      <c r="J32" s="103"/>
      <c r="K32" s="104" t="s">
        <v>266</v>
      </c>
      <c r="L32" s="103" t="s">
        <v>462</v>
      </c>
    </row>
    <row r="33" spans="1:12" ht="16.2">
      <c r="A33" s="103"/>
      <c r="B33" s="103"/>
      <c r="C33" s="103" t="s">
        <v>253</v>
      </c>
      <c r="D33" s="103" t="s">
        <v>269</v>
      </c>
      <c r="E33" s="103">
        <v>100</v>
      </c>
      <c r="F33" s="103" t="s">
        <v>278</v>
      </c>
      <c r="G33" s="104">
        <v>45937.489143519</v>
      </c>
      <c r="H33" s="104">
        <v>46086.510821759002</v>
      </c>
      <c r="I33" s="103"/>
      <c r="J33" s="103"/>
      <c r="K33" s="103" t="s">
        <v>78</v>
      </c>
      <c r="L33" s="103" t="s">
        <v>461</v>
      </c>
    </row>
    <row r="34" spans="1:12" ht="16.2">
      <c r="A34" s="103"/>
      <c r="B34" s="103"/>
      <c r="C34" s="103" t="s">
        <v>253</v>
      </c>
      <c r="D34" s="103" t="s">
        <v>270</v>
      </c>
      <c r="E34" s="103">
        <v>100</v>
      </c>
      <c r="F34" s="103" t="s">
        <v>66</v>
      </c>
      <c r="G34" s="104">
        <v>45915.425347222001</v>
      </c>
      <c r="H34" s="104">
        <v>46083.67025463</v>
      </c>
      <c r="I34" s="103"/>
      <c r="J34" s="103"/>
      <c r="K34" s="103" t="s">
        <v>267</v>
      </c>
      <c r="L34" s="103" t="s">
        <v>460</v>
      </c>
    </row>
    <row r="35" spans="1:12" ht="16.2">
      <c r="A35" s="103"/>
      <c r="B35" s="103"/>
      <c r="C35" s="103" t="s">
        <v>253</v>
      </c>
      <c r="D35" s="103" t="s">
        <v>265</v>
      </c>
      <c r="E35" s="103">
        <v>100</v>
      </c>
      <c r="F35" s="103" t="s">
        <v>66</v>
      </c>
      <c r="G35" s="104">
        <v>45937.489143519</v>
      </c>
      <c r="H35" s="104">
        <v>46056.785162036998</v>
      </c>
      <c r="I35" s="103"/>
      <c r="J35" s="103"/>
      <c r="K35" s="103" t="s">
        <v>78</v>
      </c>
      <c r="L35" s="103" t="s">
        <v>271</v>
      </c>
    </row>
    <row r="36" spans="1:12" ht="16.2">
      <c r="A36" s="103"/>
      <c r="B36" s="103"/>
      <c r="C36" s="103" t="s">
        <v>272</v>
      </c>
      <c r="D36" s="103" t="s">
        <v>269</v>
      </c>
      <c r="E36" s="103">
        <v>100</v>
      </c>
      <c r="F36" s="103" t="s">
        <v>66</v>
      </c>
      <c r="G36" s="104">
        <v>46000.676145833</v>
      </c>
      <c r="H36" s="104">
        <v>46029.754791667001</v>
      </c>
      <c r="I36" s="103"/>
      <c r="J36" s="103"/>
      <c r="K36" s="103" t="s">
        <v>70</v>
      </c>
      <c r="L36" s="103" t="s">
        <v>273</v>
      </c>
    </row>
    <row r="37" spans="1:12" ht="16.2">
      <c r="A37" s="103"/>
      <c r="B37" s="103"/>
      <c r="C37" s="103" t="s">
        <v>253</v>
      </c>
      <c r="D37" s="103" t="s">
        <v>274</v>
      </c>
      <c r="E37" s="103">
        <v>100</v>
      </c>
      <c r="F37" s="103" t="s">
        <v>66</v>
      </c>
      <c r="G37" s="104">
        <v>46000.675891204002</v>
      </c>
      <c r="H37" s="104">
        <v>46022</v>
      </c>
      <c r="I37" s="103"/>
      <c r="J37" s="103"/>
      <c r="K37" s="103" t="s">
        <v>78</v>
      </c>
      <c r="L37" s="103" t="s">
        <v>275</v>
      </c>
    </row>
    <row r="38" spans="1:12" ht="16.2">
      <c r="A38" s="103"/>
      <c r="B38" s="103"/>
      <c r="C38" s="103" t="s">
        <v>253</v>
      </c>
      <c r="D38" s="103" t="s">
        <v>262</v>
      </c>
      <c r="E38" s="103">
        <v>100</v>
      </c>
      <c r="F38" s="103" t="s">
        <v>66</v>
      </c>
      <c r="G38" s="104">
        <v>46000.675891204002</v>
      </c>
      <c r="H38" s="104">
        <v>46002.975347222004</v>
      </c>
      <c r="I38" s="103"/>
      <c r="J38" s="103"/>
      <c r="K38" s="103" t="s">
        <v>78</v>
      </c>
      <c r="L38" s="103" t="s">
        <v>276</v>
      </c>
    </row>
    <row r="39" spans="1:12" ht="16.2">
      <c r="A39" s="103"/>
      <c r="B39" s="103"/>
      <c r="C39" s="103" t="s">
        <v>253</v>
      </c>
      <c r="D39" s="103" t="s">
        <v>269</v>
      </c>
      <c r="E39" s="103">
        <v>100</v>
      </c>
      <c r="F39" s="103" t="s">
        <v>66</v>
      </c>
      <c r="G39" s="104">
        <v>45915.425011574</v>
      </c>
      <c r="H39" s="104">
        <v>45985</v>
      </c>
      <c r="I39" s="103"/>
      <c r="J39" s="103"/>
      <c r="K39" s="103" t="s">
        <v>78</v>
      </c>
      <c r="L39" s="103" t="s">
        <v>277</v>
      </c>
    </row>
    <row r="40" spans="1:12" ht="16.2">
      <c r="A40" s="103"/>
      <c r="B40" s="103"/>
      <c r="C40" s="103" t="s">
        <v>253</v>
      </c>
      <c r="D40" s="103" t="s">
        <v>265</v>
      </c>
      <c r="E40" s="103">
        <v>100</v>
      </c>
      <c r="F40" s="103" t="s">
        <v>278</v>
      </c>
      <c r="G40" s="104">
        <v>45721.400208332998</v>
      </c>
      <c r="H40" s="104">
        <v>45925</v>
      </c>
      <c r="I40" s="103"/>
      <c r="J40" s="103"/>
      <c r="K40" s="103" t="s">
        <v>78</v>
      </c>
      <c r="L40" s="103" t="s">
        <v>279</v>
      </c>
    </row>
    <row r="41" spans="1:12" ht="16.2">
      <c r="A41" s="103"/>
      <c r="B41" s="103"/>
      <c r="C41" s="103" t="s">
        <v>253</v>
      </c>
      <c r="D41" s="103" t="s">
        <v>254</v>
      </c>
      <c r="E41" s="103">
        <v>100</v>
      </c>
      <c r="F41" s="103" t="s">
        <v>278</v>
      </c>
      <c r="G41" s="104">
        <v>45750.431064814999</v>
      </c>
      <c r="H41" s="104">
        <v>45889.537662037001</v>
      </c>
      <c r="I41" s="103"/>
      <c r="J41" s="103"/>
      <c r="K41" s="103" t="s">
        <v>267</v>
      </c>
      <c r="L41" s="103" t="s">
        <v>280</v>
      </c>
    </row>
    <row r="42" spans="1:12" ht="16.2">
      <c r="A42" s="103"/>
      <c r="B42" s="103"/>
      <c r="C42" s="103" t="s">
        <v>272</v>
      </c>
      <c r="D42" s="103" t="s">
        <v>281</v>
      </c>
      <c r="E42" s="103">
        <v>100</v>
      </c>
      <c r="F42" s="103" t="s">
        <v>278</v>
      </c>
      <c r="G42" s="104">
        <v>45840.604328704001</v>
      </c>
      <c r="H42" s="104">
        <v>45904.758391203999</v>
      </c>
      <c r="I42" s="103"/>
      <c r="J42" s="103"/>
      <c r="K42" s="103" t="s">
        <v>70</v>
      </c>
      <c r="L42" s="103" t="s">
        <v>282</v>
      </c>
    </row>
    <row r="43" spans="1:12" ht="16.2">
      <c r="A43" s="103"/>
      <c r="B43" s="103"/>
      <c r="C43" s="103" t="s">
        <v>253</v>
      </c>
      <c r="D43" s="103" t="s">
        <v>254</v>
      </c>
      <c r="E43" s="103">
        <v>100</v>
      </c>
      <c r="F43" s="103" t="s">
        <v>278</v>
      </c>
      <c r="G43" s="104">
        <v>45812.379525463002</v>
      </c>
      <c r="H43" s="104">
        <v>45873.607534722003</v>
      </c>
      <c r="I43" s="103"/>
      <c r="J43" s="103"/>
      <c r="K43" s="103" t="s">
        <v>78</v>
      </c>
      <c r="L43" s="103" t="s">
        <v>283</v>
      </c>
    </row>
    <row r="44" spans="1:12" ht="16.2">
      <c r="A44" s="103"/>
      <c r="B44" s="103"/>
      <c r="C44" s="103" t="s">
        <v>257</v>
      </c>
      <c r="D44" s="103" t="s">
        <v>254</v>
      </c>
      <c r="E44" s="103">
        <v>100</v>
      </c>
      <c r="F44" s="103" t="s">
        <v>278</v>
      </c>
      <c r="G44" s="104">
        <v>45722.702291667003</v>
      </c>
      <c r="H44" s="104">
        <v>45887.713252314999</v>
      </c>
      <c r="I44" s="103"/>
      <c r="J44" s="103"/>
      <c r="K44" s="103" t="s">
        <v>267</v>
      </c>
      <c r="L44" s="103" t="s">
        <v>284</v>
      </c>
    </row>
    <row r="45" spans="1:12" ht="16.2">
      <c r="A45" s="103"/>
      <c r="B45" s="103"/>
      <c r="C45" s="103" t="s">
        <v>285</v>
      </c>
      <c r="D45" s="103" t="s">
        <v>286</v>
      </c>
      <c r="E45" s="103">
        <v>100</v>
      </c>
      <c r="F45" s="103" t="s">
        <v>278</v>
      </c>
      <c r="G45" s="104">
        <v>45757.684398147998</v>
      </c>
      <c r="H45" s="104">
        <v>45876.530798610998</v>
      </c>
      <c r="I45" s="103"/>
      <c r="J45" s="103"/>
      <c r="K45" s="103" t="s">
        <v>267</v>
      </c>
      <c r="L45" s="103" t="s">
        <v>287</v>
      </c>
    </row>
    <row r="46" spans="1:12" ht="16.2">
      <c r="A46" s="103"/>
      <c r="B46" s="103"/>
      <c r="C46" s="103" t="s">
        <v>257</v>
      </c>
      <c r="D46" s="103" t="s">
        <v>281</v>
      </c>
      <c r="E46" s="103">
        <v>100</v>
      </c>
      <c r="F46" s="103" t="s">
        <v>278</v>
      </c>
      <c r="G46" s="104">
        <v>45760.474432870004</v>
      </c>
      <c r="H46" s="104">
        <v>45797.623159722003</v>
      </c>
      <c r="I46" s="103"/>
      <c r="J46" s="103"/>
      <c r="K46" s="103" t="s">
        <v>78</v>
      </c>
      <c r="L46" s="103" t="s">
        <v>288</v>
      </c>
    </row>
    <row r="47" spans="1:12" ht="16.2">
      <c r="A47" s="103"/>
      <c r="B47" s="103"/>
      <c r="C47" s="103" t="s">
        <v>257</v>
      </c>
      <c r="D47" s="103" t="s">
        <v>269</v>
      </c>
      <c r="E47" s="103">
        <v>100</v>
      </c>
      <c r="F47" s="103" t="s">
        <v>278</v>
      </c>
      <c r="G47" s="104">
        <v>45760.473263888998</v>
      </c>
      <c r="H47" s="104">
        <v>45863.589212963001</v>
      </c>
      <c r="I47" s="103"/>
      <c r="J47" s="103"/>
      <c r="K47" s="103" t="s">
        <v>267</v>
      </c>
      <c r="L47" s="103" t="s">
        <v>289</v>
      </c>
    </row>
    <row r="48" spans="1:12" ht="16.2">
      <c r="A48" s="103"/>
      <c r="B48" s="103"/>
      <c r="C48" s="103" t="s">
        <v>253</v>
      </c>
      <c r="D48" s="103" t="s">
        <v>268</v>
      </c>
      <c r="E48" s="103">
        <v>100</v>
      </c>
      <c r="F48" s="103" t="s">
        <v>278</v>
      </c>
      <c r="G48" s="104">
        <v>45750.457187499997</v>
      </c>
      <c r="H48" s="104">
        <v>45852.872858795999</v>
      </c>
      <c r="I48" s="103"/>
      <c r="J48" s="103"/>
      <c r="K48" s="103" t="s">
        <v>267</v>
      </c>
      <c r="L48" s="103" t="s">
        <v>290</v>
      </c>
    </row>
    <row r="49" spans="1:12" ht="16.2">
      <c r="A49" s="103"/>
      <c r="B49" s="103"/>
      <c r="C49" s="103" t="s">
        <v>272</v>
      </c>
      <c r="D49" s="103" t="s">
        <v>269</v>
      </c>
      <c r="E49" s="103">
        <v>100</v>
      </c>
      <c r="F49" s="103" t="s">
        <v>278</v>
      </c>
      <c r="G49" s="104">
        <v>45750.449363426</v>
      </c>
      <c r="H49" s="104">
        <v>45855.423333332998</v>
      </c>
      <c r="I49" s="103"/>
      <c r="J49" s="103"/>
      <c r="K49" s="103" t="s">
        <v>70</v>
      </c>
      <c r="L49" s="103" t="s">
        <v>291</v>
      </c>
    </row>
    <row r="50" spans="1:12" ht="16.2">
      <c r="A50" s="103"/>
      <c r="B50" s="103"/>
      <c r="C50" s="103" t="s">
        <v>253</v>
      </c>
      <c r="D50" s="103" t="s">
        <v>269</v>
      </c>
      <c r="E50" s="103">
        <v>100</v>
      </c>
      <c r="F50" s="103" t="s">
        <v>278</v>
      </c>
      <c r="G50" s="104">
        <v>45750.447708332998</v>
      </c>
      <c r="H50" s="104">
        <v>45826.733206019002</v>
      </c>
      <c r="I50" s="103"/>
      <c r="J50" s="103"/>
      <c r="K50" s="103" t="s">
        <v>267</v>
      </c>
      <c r="L50" s="103" t="s">
        <v>292</v>
      </c>
    </row>
    <row r="51" spans="1:12" ht="16.2">
      <c r="A51" s="103"/>
      <c r="B51" s="103"/>
      <c r="C51" s="103" t="s">
        <v>272</v>
      </c>
      <c r="D51" s="103" t="s">
        <v>286</v>
      </c>
      <c r="E51" s="103">
        <v>100</v>
      </c>
      <c r="F51" s="103" t="s">
        <v>278</v>
      </c>
      <c r="G51" s="104">
        <v>45750.434374999997</v>
      </c>
      <c r="H51" s="104">
        <v>45815.681574073998</v>
      </c>
      <c r="I51" s="103"/>
      <c r="J51" s="103"/>
      <c r="K51" s="103" t="s">
        <v>70</v>
      </c>
      <c r="L51" s="103" t="s">
        <v>293</v>
      </c>
    </row>
    <row r="52" spans="1:12" ht="16.2">
      <c r="A52" s="103"/>
      <c r="B52" s="103"/>
      <c r="C52" s="103" t="s">
        <v>257</v>
      </c>
      <c r="D52" s="103" t="s">
        <v>281</v>
      </c>
      <c r="E52" s="103">
        <v>100</v>
      </c>
      <c r="F52" s="103" t="s">
        <v>278</v>
      </c>
      <c r="G52" s="104">
        <v>45722.702291667003</v>
      </c>
      <c r="H52" s="104">
        <v>45832.519826388998</v>
      </c>
      <c r="I52" s="103"/>
      <c r="J52" s="103"/>
      <c r="K52" s="103" t="s">
        <v>267</v>
      </c>
      <c r="L52" s="103" t="s">
        <v>294</v>
      </c>
    </row>
    <row r="53" spans="1:12" ht="16.2">
      <c r="A53" s="103"/>
      <c r="B53" s="103"/>
      <c r="C53" s="103" t="s">
        <v>257</v>
      </c>
      <c r="D53" s="103" t="s">
        <v>265</v>
      </c>
      <c r="E53" s="103">
        <v>100</v>
      </c>
      <c r="F53" s="103" t="s">
        <v>278</v>
      </c>
      <c r="G53" s="104">
        <v>45722.702291667003</v>
      </c>
      <c r="H53" s="104">
        <v>45756.565532407003</v>
      </c>
      <c r="I53" s="103"/>
      <c r="J53" s="103"/>
      <c r="K53" s="103" t="s">
        <v>267</v>
      </c>
      <c r="L53" s="103" t="s">
        <v>295</v>
      </c>
    </row>
    <row r="54" spans="1:12" ht="16.2">
      <c r="A54" s="103"/>
      <c r="B54" s="103"/>
      <c r="C54" s="103" t="s">
        <v>272</v>
      </c>
      <c r="D54" s="103" t="s">
        <v>286</v>
      </c>
      <c r="E54" s="103">
        <v>100</v>
      </c>
      <c r="F54" s="103" t="s">
        <v>278</v>
      </c>
      <c r="G54" s="104">
        <v>45721.401377315</v>
      </c>
      <c r="H54" s="104">
        <v>45764.169537037</v>
      </c>
      <c r="I54" s="103"/>
      <c r="J54" s="103"/>
      <c r="K54" s="103" t="s">
        <v>70</v>
      </c>
      <c r="L54" s="103" t="s">
        <v>296</v>
      </c>
    </row>
    <row r="55" spans="1:12" ht="16.2">
      <c r="A55" s="103"/>
      <c r="B55" s="103"/>
      <c r="C55" s="103" t="s">
        <v>253</v>
      </c>
      <c r="D55" s="103" t="s">
        <v>286</v>
      </c>
      <c r="E55" s="103">
        <v>100</v>
      </c>
      <c r="F55" s="103" t="s">
        <v>278</v>
      </c>
      <c r="G55" s="104">
        <v>45721.400972222</v>
      </c>
      <c r="H55" s="104">
        <v>45823.442291667001</v>
      </c>
      <c r="I55" s="103"/>
      <c r="J55" s="103"/>
      <c r="K55" s="103" t="s">
        <v>78</v>
      </c>
      <c r="L55" s="103" t="s">
        <v>297</v>
      </c>
    </row>
    <row r="56" spans="1:12" ht="16.2">
      <c r="A56" s="103"/>
      <c r="B56" s="103"/>
      <c r="C56" s="103" t="s">
        <v>272</v>
      </c>
      <c r="D56" s="103" t="s">
        <v>254</v>
      </c>
      <c r="E56" s="103">
        <v>100</v>
      </c>
      <c r="F56" s="103" t="s">
        <v>278</v>
      </c>
      <c r="G56" s="104">
        <v>45721.400543980999</v>
      </c>
      <c r="H56" s="104">
        <v>45760.839652777999</v>
      </c>
      <c r="I56" s="103"/>
      <c r="J56" s="103"/>
      <c r="K56" s="103" t="s">
        <v>70</v>
      </c>
      <c r="L56" s="103" t="s">
        <v>298</v>
      </c>
    </row>
    <row r="57" spans="1:12" ht="16.2">
      <c r="A57" s="103"/>
      <c r="B57" s="103"/>
      <c r="C57" s="103" t="s">
        <v>272</v>
      </c>
      <c r="D57" s="103" t="s">
        <v>270</v>
      </c>
      <c r="E57" s="103">
        <v>100</v>
      </c>
      <c r="F57" s="103" t="s">
        <v>278</v>
      </c>
      <c r="G57" s="104">
        <v>45721.399571759001</v>
      </c>
      <c r="H57" s="104">
        <v>45810.928263889</v>
      </c>
      <c r="I57" s="103"/>
      <c r="J57" s="103"/>
      <c r="K57" s="103" t="s">
        <v>70</v>
      </c>
      <c r="L57" s="103" t="s">
        <v>299</v>
      </c>
    </row>
    <row r="58" spans="1:12" ht="16.2">
      <c r="A58" s="103"/>
      <c r="B58" s="103"/>
      <c r="C58" s="103" t="s">
        <v>253</v>
      </c>
      <c r="D58" s="103" t="s">
        <v>270</v>
      </c>
      <c r="E58" s="103">
        <v>100</v>
      </c>
      <c r="F58" s="103" t="s">
        <v>278</v>
      </c>
      <c r="G58" s="104">
        <v>45721.399236110999</v>
      </c>
      <c r="H58" s="104">
        <v>45756.685925926002</v>
      </c>
      <c r="I58" s="103"/>
      <c r="J58" s="103"/>
      <c r="K58" s="103" t="s">
        <v>78</v>
      </c>
      <c r="L58" s="103" t="s">
        <v>300</v>
      </c>
    </row>
    <row r="59" spans="1:12" ht="16.2">
      <c r="A59" s="103"/>
      <c r="B59" s="103"/>
      <c r="C59" s="103" t="s">
        <v>253</v>
      </c>
      <c r="D59" s="103" t="s">
        <v>256</v>
      </c>
      <c r="E59" s="103">
        <v>100</v>
      </c>
      <c r="F59" s="103" t="s">
        <v>278</v>
      </c>
      <c r="G59" s="104">
        <v>45721.398807869999</v>
      </c>
      <c r="H59" s="104">
        <v>45732.459629630001</v>
      </c>
      <c r="I59" s="103"/>
      <c r="J59" s="103"/>
      <c r="K59" s="103" t="s">
        <v>78</v>
      </c>
      <c r="L59" s="103" t="s">
        <v>301</v>
      </c>
    </row>
    <row r="60" spans="1:12" ht="16.2">
      <c r="A60" s="103"/>
      <c r="B60" s="103"/>
      <c r="C60" s="103" t="s">
        <v>253</v>
      </c>
      <c r="D60" s="103" t="s">
        <v>256</v>
      </c>
      <c r="E60" s="103">
        <v>100</v>
      </c>
      <c r="F60" s="103" t="s">
        <v>278</v>
      </c>
      <c r="G60" s="104">
        <v>45721.398796296002</v>
      </c>
      <c r="H60" s="104">
        <v>45831.715312499997</v>
      </c>
      <c r="I60" s="103"/>
      <c r="J60" s="103"/>
      <c r="K60" s="103" t="s">
        <v>267</v>
      </c>
      <c r="L60" s="103" t="s">
        <v>302</v>
      </c>
    </row>
    <row r="61" spans="1:12" ht="16.2">
      <c r="A61" s="103"/>
      <c r="B61" s="103"/>
      <c r="C61" s="103" t="s">
        <v>253</v>
      </c>
      <c r="D61" s="103" t="s">
        <v>303</v>
      </c>
      <c r="E61" s="103">
        <v>100</v>
      </c>
      <c r="F61" s="103" t="s">
        <v>278</v>
      </c>
      <c r="G61" s="104">
        <v>45721.388773147999</v>
      </c>
      <c r="H61" s="104">
        <v>45722.700486111004</v>
      </c>
      <c r="I61" s="103"/>
      <c r="J61" s="103"/>
      <c r="K61" s="103" t="s">
        <v>304</v>
      </c>
      <c r="L61" s="103" t="s">
        <v>305</v>
      </c>
    </row>
    <row r="62" spans="1:12" ht="16.2">
      <c r="A62" s="103"/>
      <c r="B62" s="103"/>
      <c r="C62" s="103" t="s">
        <v>253</v>
      </c>
      <c r="D62" s="103" t="s">
        <v>303</v>
      </c>
      <c r="E62" s="103">
        <v>100</v>
      </c>
      <c r="F62" s="103" t="s">
        <v>278</v>
      </c>
      <c r="G62" s="104">
        <v>45721.388194444</v>
      </c>
      <c r="H62" s="104">
        <v>45733.672037037002</v>
      </c>
      <c r="I62" s="103"/>
      <c r="J62" s="103"/>
      <c r="K62" s="103" t="s">
        <v>304</v>
      </c>
      <c r="L62" s="103" t="s">
        <v>306</v>
      </c>
    </row>
    <row r="63" spans="1:12" ht="16.2">
      <c r="A63" s="103"/>
      <c r="B63" s="103"/>
      <c r="C63" s="103" t="s">
        <v>272</v>
      </c>
      <c r="D63" s="103" t="s">
        <v>262</v>
      </c>
      <c r="E63" s="103">
        <v>100</v>
      </c>
      <c r="F63" s="103" t="s">
        <v>278</v>
      </c>
      <c r="G63" s="104">
        <v>45568.734363426003</v>
      </c>
      <c r="H63" s="104">
        <v>45637.565810184999</v>
      </c>
      <c r="I63" s="103"/>
      <c r="J63" s="103"/>
      <c r="K63" s="103" t="s">
        <v>70</v>
      </c>
      <c r="L63" s="103" t="s">
        <v>307</v>
      </c>
    </row>
    <row r="64" spans="1:12" ht="16.2">
      <c r="A64" s="103"/>
      <c r="B64" s="103"/>
      <c r="C64" s="103" t="s">
        <v>272</v>
      </c>
      <c r="D64" s="103" t="s">
        <v>274</v>
      </c>
      <c r="E64" s="103">
        <v>100</v>
      </c>
      <c r="F64" s="103" t="s">
        <v>278</v>
      </c>
      <c r="G64" s="104">
        <v>45568.723078704003</v>
      </c>
      <c r="H64" s="104">
        <v>45680.750254630002</v>
      </c>
      <c r="I64" s="103"/>
      <c r="J64" s="103"/>
      <c r="K64" s="103" t="s">
        <v>70</v>
      </c>
      <c r="L64" s="103" t="s">
        <v>308</v>
      </c>
    </row>
    <row r="65" spans="1:12" ht="16.2">
      <c r="A65" s="103"/>
      <c r="B65" s="103"/>
      <c r="C65" s="103" t="s">
        <v>253</v>
      </c>
      <c r="D65" s="103" t="s">
        <v>264</v>
      </c>
      <c r="E65" s="103">
        <v>100</v>
      </c>
      <c r="F65" s="103" t="s">
        <v>278</v>
      </c>
      <c r="G65" s="104">
        <v>45568.720243055999</v>
      </c>
      <c r="H65" s="104">
        <v>45747.395358795999</v>
      </c>
      <c r="I65" s="103"/>
      <c r="J65" s="103"/>
      <c r="K65" s="103" t="s">
        <v>78</v>
      </c>
      <c r="L65" s="103" t="s">
        <v>309</v>
      </c>
    </row>
    <row r="66" spans="1:12" ht="16.2">
      <c r="A66" s="103"/>
      <c r="B66" s="103"/>
      <c r="C66" s="103" t="s">
        <v>253</v>
      </c>
      <c r="D66" s="103" t="s">
        <v>262</v>
      </c>
      <c r="E66" s="103">
        <v>100</v>
      </c>
      <c r="F66" s="103" t="s">
        <v>278</v>
      </c>
      <c r="G66" s="104">
        <v>45568.719016203999</v>
      </c>
      <c r="H66" s="104">
        <v>45764.456909722001</v>
      </c>
      <c r="I66" s="103"/>
      <c r="J66" s="103"/>
      <c r="K66" s="103" t="s">
        <v>267</v>
      </c>
      <c r="L66" s="103" t="s">
        <v>310</v>
      </c>
    </row>
    <row r="67" spans="1:12" ht="16.2">
      <c r="A67" s="103"/>
      <c r="B67" s="103"/>
      <c r="C67" s="103" t="s">
        <v>272</v>
      </c>
      <c r="D67" s="103" t="s">
        <v>262</v>
      </c>
      <c r="E67" s="103">
        <v>100</v>
      </c>
      <c r="F67" s="103" t="s">
        <v>278</v>
      </c>
      <c r="G67" s="104">
        <v>45568.717696758998</v>
      </c>
      <c r="H67" s="104">
        <v>45726.676678240998</v>
      </c>
      <c r="I67" s="103"/>
      <c r="J67" s="103"/>
      <c r="K67" s="103" t="s">
        <v>70</v>
      </c>
      <c r="L67" s="103" t="s">
        <v>311</v>
      </c>
    </row>
    <row r="68" spans="1:12" ht="16.2">
      <c r="A68" s="103"/>
      <c r="B68" s="103"/>
      <c r="C68" s="103" t="s">
        <v>253</v>
      </c>
      <c r="D68" s="103" t="s">
        <v>270</v>
      </c>
      <c r="E68" s="103">
        <v>100</v>
      </c>
      <c r="F68" s="103" t="s">
        <v>278</v>
      </c>
      <c r="G68" s="104">
        <v>45568.713877315</v>
      </c>
      <c r="H68" s="104">
        <v>45758.681342593001</v>
      </c>
      <c r="I68" s="103"/>
      <c r="J68" s="103"/>
      <c r="K68" s="103" t="s">
        <v>78</v>
      </c>
      <c r="L68" s="103" t="s">
        <v>312</v>
      </c>
    </row>
    <row r="69" spans="1:12" ht="16.2">
      <c r="A69" s="103"/>
      <c r="B69" s="103"/>
      <c r="C69" s="103" t="s">
        <v>253</v>
      </c>
      <c r="D69" s="103" t="s">
        <v>281</v>
      </c>
      <c r="E69" s="103">
        <v>100</v>
      </c>
      <c r="F69" s="103" t="s">
        <v>278</v>
      </c>
      <c r="G69" s="104">
        <v>45568.713217593002</v>
      </c>
      <c r="H69" s="104">
        <v>45763.613483795998</v>
      </c>
      <c r="I69" s="103"/>
      <c r="J69" s="103"/>
      <c r="K69" s="103" t="s">
        <v>267</v>
      </c>
      <c r="L69" s="103" t="s">
        <v>313</v>
      </c>
    </row>
    <row r="70" spans="1:12" ht="16.2">
      <c r="A70" s="103"/>
      <c r="B70" s="103"/>
      <c r="C70" s="103" t="s">
        <v>272</v>
      </c>
      <c r="D70" s="103" t="s">
        <v>268</v>
      </c>
      <c r="E70" s="103">
        <v>100</v>
      </c>
      <c r="F70" s="103" t="s">
        <v>278</v>
      </c>
      <c r="G70" s="104">
        <v>45568.710347221997</v>
      </c>
      <c r="H70" s="104">
        <v>45730.723425926</v>
      </c>
      <c r="I70" s="103"/>
      <c r="J70" s="103"/>
      <c r="K70" s="103" t="s">
        <v>70</v>
      </c>
      <c r="L70" s="103" t="s">
        <v>314</v>
      </c>
    </row>
    <row r="71" spans="1:12" ht="16.2">
      <c r="A71" s="103"/>
      <c r="B71" s="103"/>
      <c r="C71" s="103" t="s">
        <v>272</v>
      </c>
      <c r="D71" s="103" t="s">
        <v>256</v>
      </c>
      <c r="E71" s="103">
        <v>100</v>
      </c>
      <c r="F71" s="103" t="s">
        <v>278</v>
      </c>
      <c r="G71" s="104">
        <v>45568.709039351997</v>
      </c>
      <c r="H71" s="104">
        <v>45593.770405092997</v>
      </c>
      <c r="I71" s="103"/>
      <c r="J71" s="103"/>
      <c r="K71" s="103" t="s">
        <v>70</v>
      </c>
      <c r="L71" s="103" t="s">
        <v>315</v>
      </c>
    </row>
    <row r="72" spans="1:12" ht="16.2">
      <c r="A72" s="103"/>
      <c r="B72" s="103"/>
      <c r="C72" s="103" t="s">
        <v>253</v>
      </c>
      <c r="D72" s="103" t="s">
        <v>264</v>
      </c>
      <c r="E72" s="103">
        <v>100</v>
      </c>
      <c r="F72" s="103" t="s">
        <v>278</v>
      </c>
      <c r="G72" s="104">
        <v>45568.706099536997</v>
      </c>
      <c r="H72" s="104">
        <v>45759.957997685</v>
      </c>
      <c r="I72" s="103"/>
      <c r="J72" s="103"/>
      <c r="K72" s="103" t="s">
        <v>267</v>
      </c>
      <c r="L72" s="103" t="s">
        <v>316</v>
      </c>
    </row>
    <row r="73" spans="1:12" ht="16.2">
      <c r="A73" s="103"/>
      <c r="B73" s="103"/>
      <c r="C73" s="103" t="s">
        <v>253</v>
      </c>
      <c r="D73" s="103" t="s">
        <v>274</v>
      </c>
      <c r="E73" s="103">
        <v>100</v>
      </c>
      <c r="F73" s="103" t="s">
        <v>278</v>
      </c>
      <c r="G73" s="104">
        <v>45568.705069443997</v>
      </c>
      <c r="H73" s="104">
        <v>45760.611064814999</v>
      </c>
      <c r="I73" s="103"/>
      <c r="J73" s="103"/>
      <c r="K73" s="103" t="s">
        <v>267</v>
      </c>
      <c r="L73" s="103" t="s">
        <v>317</v>
      </c>
    </row>
    <row r="74" spans="1:12" ht="16.2">
      <c r="A74" s="103"/>
      <c r="B74" s="103"/>
      <c r="C74" s="103" t="s">
        <v>253</v>
      </c>
      <c r="D74" s="103" t="s">
        <v>256</v>
      </c>
      <c r="E74" s="103">
        <v>100</v>
      </c>
      <c r="F74" s="103" t="s">
        <v>278</v>
      </c>
      <c r="G74" s="104">
        <v>45568.704351852</v>
      </c>
      <c r="H74" s="104">
        <v>45601.563819444003</v>
      </c>
      <c r="I74" s="103"/>
      <c r="J74" s="103"/>
      <c r="K74" s="103" t="s">
        <v>78</v>
      </c>
      <c r="L74" s="103" t="s">
        <v>318</v>
      </c>
    </row>
    <row r="75" spans="1:12" ht="16.2">
      <c r="A75" s="103"/>
      <c r="B75" s="103"/>
      <c r="C75" s="103" t="s">
        <v>253</v>
      </c>
      <c r="D75" s="103" t="s">
        <v>258</v>
      </c>
      <c r="E75" s="103">
        <v>100</v>
      </c>
      <c r="F75" s="103" t="s">
        <v>278</v>
      </c>
      <c r="G75" s="104">
        <v>45568.702800926003</v>
      </c>
      <c r="H75" s="104">
        <v>45801.329560184997</v>
      </c>
      <c r="I75" s="103"/>
      <c r="J75" s="103"/>
      <c r="K75" s="103" t="s">
        <v>267</v>
      </c>
      <c r="L75" s="103" t="s">
        <v>319</v>
      </c>
    </row>
    <row r="76" spans="1:12" ht="16.2">
      <c r="A76" s="103"/>
      <c r="B76" s="103"/>
      <c r="C76" s="103" t="s">
        <v>257</v>
      </c>
      <c r="D76" s="103" t="s">
        <v>256</v>
      </c>
      <c r="E76" s="103">
        <v>100</v>
      </c>
      <c r="F76" s="103" t="s">
        <v>278</v>
      </c>
      <c r="G76" s="104">
        <v>45568.493750000001</v>
      </c>
      <c r="H76" s="104">
        <v>45631.781041667004</v>
      </c>
      <c r="I76" s="103"/>
      <c r="J76" s="103"/>
      <c r="K76" s="103" t="s">
        <v>78</v>
      </c>
      <c r="L76" s="103" t="s">
        <v>320</v>
      </c>
    </row>
    <row r="77" spans="1:12" ht="16.2">
      <c r="A77" s="103"/>
      <c r="B77" s="103"/>
      <c r="C77" s="103" t="s">
        <v>257</v>
      </c>
      <c r="D77" s="103" t="s">
        <v>264</v>
      </c>
      <c r="E77" s="103">
        <v>100</v>
      </c>
      <c r="F77" s="103" t="s">
        <v>278</v>
      </c>
      <c r="G77" s="104">
        <v>45568.493750000001</v>
      </c>
      <c r="H77" s="104">
        <v>45756.961412037002</v>
      </c>
      <c r="I77" s="103"/>
      <c r="J77" s="103"/>
      <c r="K77" s="103" t="s">
        <v>267</v>
      </c>
      <c r="L77" s="103" t="s">
        <v>321</v>
      </c>
    </row>
    <row r="78" spans="1:12" ht="16.2">
      <c r="A78" s="103"/>
      <c r="B78" s="103"/>
      <c r="C78" s="103" t="s">
        <v>257</v>
      </c>
      <c r="D78" s="103" t="s">
        <v>281</v>
      </c>
      <c r="E78" s="103">
        <v>100</v>
      </c>
      <c r="F78" s="103" t="s">
        <v>278</v>
      </c>
      <c r="G78" s="104">
        <v>45568.493750000001</v>
      </c>
      <c r="H78" s="104">
        <v>45761.551481481001</v>
      </c>
      <c r="I78" s="103"/>
      <c r="J78" s="103"/>
      <c r="K78" s="103" t="s">
        <v>267</v>
      </c>
      <c r="L78" s="103" t="s">
        <v>322</v>
      </c>
    </row>
    <row r="79" spans="1:12" ht="16.2">
      <c r="A79" s="103"/>
      <c r="B79" s="103"/>
      <c r="C79" s="103" t="s">
        <v>257</v>
      </c>
      <c r="D79" s="103" t="s">
        <v>270</v>
      </c>
      <c r="E79" s="103">
        <v>100</v>
      </c>
      <c r="F79" s="103" t="s">
        <v>278</v>
      </c>
      <c r="G79" s="104">
        <v>45568.493750000001</v>
      </c>
      <c r="H79" s="104">
        <v>45762.595787036997</v>
      </c>
      <c r="I79" s="103"/>
      <c r="J79" s="103"/>
      <c r="K79" s="103" t="s">
        <v>78</v>
      </c>
      <c r="L79" s="103" t="s">
        <v>323</v>
      </c>
    </row>
    <row r="80" spans="1:12" ht="16.2">
      <c r="A80" s="103"/>
      <c r="B80" s="103"/>
      <c r="C80" s="103" t="s">
        <v>257</v>
      </c>
      <c r="D80" s="103" t="s">
        <v>274</v>
      </c>
      <c r="E80" s="103">
        <v>100</v>
      </c>
      <c r="F80" s="103" t="s">
        <v>278</v>
      </c>
      <c r="G80" s="104">
        <v>45568.493750000001</v>
      </c>
      <c r="H80" s="104">
        <v>45637.531446759</v>
      </c>
      <c r="I80" s="103"/>
      <c r="J80" s="103"/>
      <c r="K80" s="103" t="s">
        <v>267</v>
      </c>
      <c r="L80" s="103" t="s">
        <v>324</v>
      </c>
    </row>
    <row r="81" spans="1:12" ht="16.2">
      <c r="A81" s="103"/>
      <c r="B81" s="103"/>
      <c r="C81" s="103" t="s">
        <v>257</v>
      </c>
      <c r="D81" s="103" t="s">
        <v>268</v>
      </c>
      <c r="E81" s="103">
        <v>100</v>
      </c>
      <c r="F81" s="103" t="s">
        <v>278</v>
      </c>
      <c r="G81" s="104">
        <v>45568.493750000001</v>
      </c>
      <c r="H81" s="104">
        <v>45644.422141203999</v>
      </c>
      <c r="I81" s="103"/>
      <c r="J81" s="103"/>
      <c r="K81" s="103" t="s">
        <v>78</v>
      </c>
      <c r="L81" s="103" t="s">
        <v>325</v>
      </c>
    </row>
    <row r="82" spans="1:12" ht="16.2">
      <c r="A82" s="103"/>
      <c r="B82" s="103"/>
      <c r="C82" s="103" t="s">
        <v>257</v>
      </c>
      <c r="D82" s="103" t="s">
        <v>258</v>
      </c>
      <c r="E82" s="103">
        <v>100</v>
      </c>
      <c r="F82" s="103" t="s">
        <v>278</v>
      </c>
      <c r="G82" s="104">
        <v>45568.493750000001</v>
      </c>
      <c r="H82" s="104">
        <v>45777.024710648002</v>
      </c>
      <c r="I82" s="103"/>
      <c r="J82" s="103"/>
      <c r="K82" s="103" t="s">
        <v>267</v>
      </c>
      <c r="L82" s="103" t="s">
        <v>326</v>
      </c>
    </row>
    <row r="83" spans="1:12" ht="16.2">
      <c r="A83" s="103"/>
      <c r="B83" s="103"/>
      <c r="C83" s="103" t="s">
        <v>257</v>
      </c>
      <c r="D83" s="103" t="s">
        <v>303</v>
      </c>
      <c r="E83" s="103">
        <v>100</v>
      </c>
      <c r="F83" s="103" t="s">
        <v>278</v>
      </c>
      <c r="G83" s="104">
        <v>45568.493750000001</v>
      </c>
      <c r="H83" s="104">
        <v>45730.629641204003</v>
      </c>
      <c r="I83" s="103"/>
      <c r="J83" s="103"/>
      <c r="K83" s="103" t="s">
        <v>78</v>
      </c>
      <c r="L83" s="103" t="s">
        <v>327</v>
      </c>
    </row>
    <row r="84" spans="1:12" ht="16.2">
      <c r="A84" s="103"/>
      <c r="B84" s="103"/>
      <c r="C84" s="103" t="s">
        <v>272</v>
      </c>
      <c r="D84" s="103" t="s">
        <v>270</v>
      </c>
      <c r="E84" s="103">
        <v>100</v>
      </c>
      <c r="F84" s="103" t="s">
        <v>278</v>
      </c>
      <c r="G84" s="104">
        <v>45343.772962962998</v>
      </c>
      <c r="H84" s="104">
        <v>45372.879907406998</v>
      </c>
      <c r="I84" s="103"/>
      <c r="J84" s="103"/>
      <c r="K84" s="103" t="s">
        <v>70</v>
      </c>
      <c r="L84" s="103" t="s">
        <v>328</v>
      </c>
    </row>
    <row r="85" spans="1:12" ht="16.2">
      <c r="A85" s="103"/>
      <c r="B85" s="103"/>
      <c r="C85" s="103" t="s">
        <v>272</v>
      </c>
      <c r="D85" s="103" t="s">
        <v>281</v>
      </c>
      <c r="E85" s="103">
        <v>100</v>
      </c>
      <c r="F85" s="103" t="s">
        <v>278</v>
      </c>
      <c r="G85" s="104">
        <v>45343.772962962998</v>
      </c>
      <c r="H85" s="104">
        <v>45361.790717593001</v>
      </c>
      <c r="I85" s="103"/>
      <c r="J85" s="103"/>
      <c r="K85" s="103" t="s">
        <v>70</v>
      </c>
      <c r="L85" s="103" t="s">
        <v>329</v>
      </c>
    </row>
    <row r="86" spans="1:12" ht="16.2">
      <c r="A86" s="103"/>
      <c r="B86" s="103"/>
      <c r="C86" s="103" t="s">
        <v>272</v>
      </c>
      <c r="D86" s="103" t="s">
        <v>262</v>
      </c>
      <c r="E86" s="103">
        <v>100</v>
      </c>
      <c r="F86" s="103" t="s">
        <v>278</v>
      </c>
      <c r="G86" s="104">
        <v>45343.772962962998</v>
      </c>
      <c r="H86" s="104">
        <v>45364.724467592998</v>
      </c>
      <c r="I86" s="103"/>
      <c r="J86" s="103"/>
      <c r="K86" s="103" t="s">
        <v>70</v>
      </c>
      <c r="L86" s="103" t="s">
        <v>330</v>
      </c>
    </row>
    <row r="87" spans="1:12" ht="16.2">
      <c r="A87" s="103"/>
      <c r="B87" s="103"/>
      <c r="C87" s="103" t="s">
        <v>253</v>
      </c>
      <c r="D87" s="103" t="s">
        <v>286</v>
      </c>
      <c r="E87" s="103">
        <v>100</v>
      </c>
      <c r="F87" s="103" t="s">
        <v>278</v>
      </c>
      <c r="G87" s="104">
        <v>45343.772118055997</v>
      </c>
      <c r="H87" s="104">
        <v>45368.610081018996</v>
      </c>
      <c r="I87" s="103"/>
      <c r="J87" s="103"/>
      <c r="K87" s="103" t="s">
        <v>78</v>
      </c>
      <c r="L87" s="103" t="s">
        <v>331</v>
      </c>
    </row>
    <row r="88" spans="1:12" ht="16.2">
      <c r="A88" s="103"/>
      <c r="B88" s="103"/>
      <c r="C88" s="103" t="s">
        <v>253</v>
      </c>
      <c r="D88" s="103" t="s">
        <v>265</v>
      </c>
      <c r="E88" s="103">
        <v>100</v>
      </c>
      <c r="F88" s="103" t="s">
        <v>278</v>
      </c>
      <c r="G88" s="104">
        <v>45343.772106481003</v>
      </c>
      <c r="H88" s="104">
        <v>45376.460740741</v>
      </c>
      <c r="I88" s="103"/>
      <c r="J88" s="103"/>
      <c r="K88" s="103" t="s">
        <v>78</v>
      </c>
      <c r="L88" s="103" t="s">
        <v>332</v>
      </c>
    </row>
    <row r="89" spans="1:12" ht="16.2">
      <c r="A89" s="103"/>
      <c r="B89" s="103"/>
      <c r="C89" s="103" t="s">
        <v>253</v>
      </c>
      <c r="D89" s="103" t="s">
        <v>268</v>
      </c>
      <c r="E89" s="103">
        <v>100</v>
      </c>
      <c r="F89" s="103" t="s">
        <v>278</v>
      </c>
      <c r="G89" s="104">
        <v>45343.772106481003</v>
      </c>
      <c r="H89" s="104">
        <v>45378.979675925999</v>
      </c>
      <c r="I89" s="103"/>
      <c r="J89" s="103"/>
      <c r="K89" s="103" t="s">
        <v>78</v>
      </c>
      <c r="L89" s="103" t="s">
        <v>333</v>
      </c>
    </row>
    <row r="90" spans="1:12" ht="16.2">
      <c r="A90" s="103"/>
      <c r="B90" s="103"/>
      <c r="C90" s="103" t="s">
        <v>257</v>
      </c>
      <c r="D90" s="103" t="s">
        <v>286</v>
      </c>
      <c r="E90" s="103">
        <v>100</v>
      </c>
      <c r="F90" s="103" t="s">
        <v>278</v>
      </c>
      <c r="G90" s="104">
        <v>45082.521076388999</v>
      </c>
      <c r="H90" s="104">
        <v>45370.000625000001</v>
      </c>
      <c r="I90" s="103"/>
      <c r="J90" s="103"/>
      <c r="K90" s="103" t="s">
        <v>267</v>
      </c>
      <c r="L90" s="103" t="s">
        <v>334</v>
      </c>
    </row>
    <row r="91" spans="1:12" ht="16.2">
      <c r="A91" s="103"/>
      <c r="B91" s="103"/>
      <c r="C91" s="103" t="s">
        <v>257</v>
      </c>
      <c r="D91" s="103" t="s">
        <v>268</v>
      </c>
      <c r="E91" s="103">
        <v>100</v>
      </c>
      <c r="F91" s="103" t="s">
        <v>278</v>
      </c>
      <c r="G91" s="104">
        <v>45007.450034722002</v>
      </c>
      <c r="H91" s="104">
        <v>45022.530162037001</v>
      </c>
      <c r="I91" s="103"/>
      <c r="J91" s="103"/>
      <c r="K91" s="103" t="s">
        <v>267</v>
      </c>
      <c r="L91" s="103" t="s">
        <v>335</v>
      </c>
    </row>
    <row r="92" spans="1:12" ht="16.2">
      <c r="A92" s="103"/>
      <c r="B92" s="103"/>
      <c r="C92" s="103" t="s">
        <v>257</v>
      </c>
      <c r="D92" s="103" t="s">
        <v>270</v>
      </c>
      <c r="E92" s="103">
        <v>100</v>
      </c>
      <c r="F92" s="103" t="s">
        <v>278</v>
      </c>
      <c r="G92" s="104">
        <v>44887.368518518997</v>
      </c>
      <c r="H92" s="104">
        <v>44945.882638889001</v>
      </c>
      <c r="I92" s="103"/>
      <c r="J92" s="103"/>
      <c r="K92" s="103" t="s">
        <v>78</v>
      </c>
      <c r="L92" s="103" t="s">
        <v>336</v>
      </c>
    </row>
    <row r="93" spans="1:12" ht="16.2">
      <c r="A93" s="103"/>
      <c r="B93" s="103"/>
      <c r="C93" s="103" t="s">
        <v>257</v>
      </c>
      <c r="D93" s="103" t="s">
        <v>274</v>
      </c>
      <c r="E93" s="103">
        <v>100</v>
      </c>
      <c r="F93" s="103" t="s">
        <v>278</v>
      </c>
      <c r="G93" s="104">
        <v>44886.928634258998</v>
      </c>
      <c r="H93" s="104">
        <v>44952.958726851997</v>
      </c>
      <c r="I93" s="103"/>
      <c r="J93" s="103"/>
      <c r="K93" s="103" t="s">
        <v>78</v>
      </c>
      <c r="L93" s="103" t="s">
        <v>337</v>
      </c>
    </row>
    <row r="94" spans="1:12" ht="16.2">
      <c r="A94" s="103"/>
      <c r="B94" s="103"/>
      <c r="C94" s="103" t="s">
        <v>257</v>
      </c>
      <c r="D94" s="103" t="s">
        <v>281</v>
      </c>
      <c r="E94" s="103">
        <v>100</v>
      </c>
      <c r="F94" s="103" t="s">
        <v>278</v>
      </c>
      <c r="G94" s="104">
        <v>44858.907361111</v>
      </c>
      <c r="H94" s="104">
        <v>45022.783784722</v>
      </c>
      <c r="I94" s="103"/>
      <c r="J94" s="103"/>
      <c r="K94" s="103" t="s">
        <v>338</v>
      </c>
      <c r="L94" s="103" t="s">
        <v>339</v>
      </c>
    </row>
  </sheetData>
  <autoFilter ref="A1:L1" xr:uid="{0DAEBEC8-3F0A-441E-AF51-A46D0243A6EB}"/>
  <conditionalFormatting sqref="E2:E94">
    <cfRule type="cellIs" dxfId="24" priority="1" operator="lessThan">
      <formula>1</formula>
    </cfRule>
    <cfRule type="cellIs" dxfId="23" priority="2" operator="between">
      <formula>1</formula>
      <formula>99</formula>
    </cfRule>
    <cfRule type="cellIs" dxfId="22" priority="3" operator="greaterThan">
      <formula>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414C1-0485-46FD-BFE3-241DACFA2A8A}">
  <dimension ref="A1:FW6"/>
  <sheetViews>
    <sheetView workbookViewId="0">
      <selection activeCell="C8" sqref="C8"/>
    </sheetView>
  </sheetViews>
  <sheetFormatPr defaultRowHeight="15.6"/>
  <cols>
    <col min="1" max="1" width="10.59765625" customWidth="1"/>
    <col min="2" max="2" width="11.5" customWidth="1"/>
    <col min="5" max="5" width="9.5" customWidth="1"/>
    <col min="6" max="6" width="10.59765625" customWidth="1"/>
    <col min="7" max="7" width="11.8984375" customWidth="1"/>
  </cols>
  <sheetData>
    <row r="1" spans="1:179" s="86" customFormat="1" ht="15.6" customHeight="1">
      <c r="A1" s="381" t="s">
        <v>340</v>
      </c>
      <c r="B1" s="357" t="s">
        <v>2</v>
      </c>
      <c r="C1" s="357" t="s">
        <v>341</v>
      </c>
      <c r="D1" s="357" t="s">
        <v>4</v>
      </c>
      <c r="E1" s="366" t="s">
        <v>7</v>
      </c>
      <c r="F1" s="366" t="s">
        <v>8</v>
      </c>
      <c r="G1" s="383" t="s">
        <v>342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76"/>
      <c r="BJ1" s="176"/>
      <c r="BK1" s="176"/>
      <c r="BL1" s="176"/>
      <c r="BM1" s="176"/>
      <c r="BN1" s="176"/>
      <c r="BO1" s="176"/>
      <c r="BP1" s="176"/>
      <c r="BQ1" s="176"/>
      <c r="BR1" s="176"/>
      <c r="BS1" s="176"/>
      <c r="BT1" s="176"/>
      <c r="BU1" s="176"/>
      <c r="BV1" s="176"/>
      <c r="BW1" s="176"/>
      <c r="BX1" s="176"/>
      <c r="BY1" s="176"/>
      <c r="BZ1" s="176"/>
      <c r="CA1" s="176"/>
      <c r="CB1" s="176"/>
      <c r="CC1" s="176"/>
      <c r="CD1" s="176"/>
      <c r="CE1" s="176"/>
      <c r="CF1" s="176"/>
      <c r="CG1" s="176"/>
      <c r="CH1" s="176"/>
      <c r="CI1" s="176"/>
      <c r="CJ1" s="176"/>
      <c r="CK1" s="176"/>
      <c r="CL1" s="176"/>
      <c r="CM1" s="176"/>
      <c r="CN1" s="176"/>
      <c r="CO1" s="176"/>
      <c r="CP1" s="176"/>
      <c r="CQ1" s="176"/>
      <c r="CR1" s="176"/>
      <c r="CS1" s="176"/>
      <c r="CT1" s="176"/>
      <c r="CU1" s="176"/>
      <c r="CV1" s="176"/>
      <c r="CW1" s="176"/>
      <c r="CX1" s="176"/>
      <c r="CY1" s="176"/>
      <c r="CZ1" s="176"/>
      <c r="DA1" s="176"/>
      <c r="DB1" s="176"/>
      <c r="DC1" s="176"/>
      <c r="DD1" s="176"/>
      <c r="DE1" s="176"/>
      <c r="DF1" s="176"/>
      <c r="DG1" s="176"/>
      <c r="DH1" s="176"/>
      <c r="DI1" s="176"/>
      <c r="DJ1" s="176"/>
      <c r="DK1" s="176"/>
      <c r="DL1" s="176"/>
      <c r="DM1" s="176"/>
      <c r="DN1" s="176"/>
      <c r="DO1" s="176"/>
      <c r="DP1" s="176"/>
      <c r="DQ1" s="176"/>
      <c r="DR1" s="176"/>
      <c r="DS1" s="176"/>
      <c r="DT1" s="176"/>
      <c r="DU1" s="176"/>
      <c r="DV1" s="176"/>
      <c r="DW1" s="176"/>
      <c r="DX1" s="176"/>
      <c r="DY1" s="176"/>
      <c r="DZ1" s="176"/>
      <c r="EA1" s="176"/>
      <c r="EB1" s="176"/>
      <c r="EC1" s="176"/>
      <c r="ED1" s="176"/>
      <c r="EE1" s="176"/>
      <c r="EF1" s="176"/>
      <c r="EG1" s="176"/>
      <c r="EH1" s="176"/>
      <c r="EI1" s="176"/>
      <c r="EJ1" s="176"/>
      <c r="EK1" s="176"/>
      <c r="EL1" s="176"/>
      <c r="EM1" s="176"/>
      <c r="EN1" s="176"/>
      <c r="EO1" s="176"/>
      <c r="EP1" s="176"/>
      <c r="EQ1" s="176"/>
      <c r="ER1" s="176"/>
      <c r="ES1" s="176"/>
      <c r="ET1" s="176"/>
      <c r="EU1" s="176"/>
      <c r="EV1" s="176"/>
      <c r="EW1" s="176"/>
      <c r="EX1" s="176"/>
      <c r="EY1" s="176"/>
      <c r="EZ1" s="176"/>
      <c r="FA1" s="176"/>
      <c r="FB1" s="176"/>
      <c r="FC1" s="176"/>
      <c r="FD1" s="176"/>
      <c r="FE1" s="176"/>
      <c r="FF1" s="176"/>
      <c r="FG1" s="176"/>
      <c r="FH1" s="176"/>
      <c r="FI1" s="176"/>
      <c r="FJ1" s="176"/>
      <c r="FK1" s="176"/>
      <c r="FL1" s="176"/>
      <c r="FM1" s="176"/>
      <c r="FN1" s="176"/>
      <c r="FO1" s="176"/>
      <c r="FP1" s="176"/>
      <c r="FQ1" s="176"/>
      <c r="FR1" s="176"/>
      <c r="FS1" s="176"/>
      <c r="FT1" s="176"/>
      <c r="FU1" s="176"/>
      <c r="FV1" s="176"/>
      <c r="FW1" s="176"/>
    </row>
    <row r="2" spans="1:179" s="86" customFormat="1" ht="16.2" thickBot="1">
      <c r="A2" s="382"/>
      <c r="B2" s="358"/>
      <c r="C2" s="358"/>
      <c r="D2" s="358"/>
      <c r="E2" s="367"/>
      <c r="F2" s="367"/>
      <c r="G2" s="384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6"/>
      <c r="BU2" s="176"/>
      <c r="BV2" s="176"/>
      <c r="BW2" s="176"/>
      <c r="BX2" s="176"/>
      <c r="BY2" s="176"/>
      <c r="BZ2" s="176"/>
      <c r="CA2" s="176"/>
      <c r="CB2" s="176"/>
      <c r="CC2" s="176"/>
      <c r="CD2" s="176"/>
      <c r="CE2" s="176"/>
      <c r="CF2" s="176"/>
      <c r="CG2" s="176"/>
      <c r="CH2" s="176"/>
      <c r="CI2" s="176"/>
      <c r="CJ2" s="176"/>
      <c r="CK2" s="176"/>
      <c r="CL2" s="176"/>
      <c r="CM2" s="176"/>
      <c r="CN2" s="176"/>
      <c r="CO2" s="176"/>
      <c r="CP2" s="176"/>
      <c r="CQ2" s="176"/>
      <c r="CR2" s="176"/>
      <c r="CS2" s="176"/>
      <c r="CT2" s="176"/>
      <c r="CU2" s="176"/>
      <c r="CV2" s="176"/>
      <c r="CW2" s="176"/>
      <c r="CX2" s="176"/>
      <c r="CY2" s="176"/>
      <c r="CZ2" s="176"/>
      <c r="DA2" s="176"/>
      <c r="DB2" s="176"/>
      <c r="DC2" s="176"/>
      <c r="DD2" s="176"/>
      <c r="DE2" s="176"/>
      <c r="DF2" s="176"/>
      <c r="DG2" s="176"/>
      <c r="DH2" s="176"/>
      <c r="DI2" s="176"/>
      <c r="DJ2" s="176"/>
      <c r="DK2" s="176"/>
      <c r="DL2" s="176"/>
      <c r="DM2" s="176"/>
      <c r="DN2" s="176"/>
      <c r="DO2" s="176"/>
      <c r="DP2" s="176"/>
      <c r="DQ2" s="176"/>
      <c r="DR2" s="176"/>
      <c r="DS2" s="176"/>
      <c r="DT2" s="176"/>
      <c r="DU2" s="176"/>
      <c r="DV2" s="176"/>
      <c r="DW2" s="176"/>
      <c r="DX2" s="176"/>
      <c r="DY2" s="176"/>
      <c r="DZ2" s="176"/>
      <c r="EA2" s="176"/>
      <c r="EB2" s="176"/>
      <c r="EC2" s="176"/>
      <c r="ED2" s="176"/>
      <c r="EE2" s="176"/>
      <c r="EF2" s="176"/>
      <c r="EG2" s="176"/>
      <c r="EH2" s="176"/>
      <c r="EI2" s="176"/>
      <c r="EJ2" s="176"/>
      <c r="EK2" s="176"/>
      <c r="EL2" s="176"/>
      <c r="EM2" s="176"/>
      <c r="EN2" s="176"/>
      <c r="EO2" s="176"/>
      <c r="EP2" s="176"/>
      <c r="EQ2" s="176"/>
      <c r="ER2" s="176"/>
      <c r="ES2" s="176"/>
      <c r="ET2" s="176"/>
      <c r="EU2" s="176"/>
      <c r="EV2" s="176"/>
      <c r="EW2" s="176"/>
      <c r="EX2" s="176"/>
      <c r="EY2" s="176"/>
      <c r="EZ2" s="176"/>
      <c r="FA2" s="176"/>
      <c r="FB2" s="176"/>
      <c r="FC2" s="176"/>
      <c r="FD2" s="176"/>
      <c r="FE2" s="176"/>
      <c r="FF2" s="176"/>
      <c r="FG2" s="176"/>
      <c r="FH2" s="176"/>
      <c r="FI2" s="176"/>
      <c r="FJ2" s="176"/>
      <c r="FK2" s="176"/>
      <c r="FL2" s="176"/>
      <c r="FM2" s="176"/>
      <c r="FN2" s="176"/>
      <c r="FO2" s="176"/>
      <c r="FP2" s="176"/>
      <c r="FQ2" s="176"/>
      <c r="FR2" s="176"/>
      <c r="FS2" s="176"/>
      <c r="FT2" s="176"/>
      <c r="FU2" s="176"/>
      <c r="FV2" s="176"/>
      <c r="FW2" s="176"/>
    </row>
    <row r="3" spans="1:179" s="88" customFormat="1" ht="16.2" thickBot="1">
      <c r="A3" s="130" t="s">
        <v>146</v>
      </c>
      <c r="B3" s="130"/>
      <c r="C3" s="131" t="s">
        <v>76</v>
      </c>
      <c r="D3" s="131" t="s">
        <v>63</v>
      </c>
      <c r="E3" s="132">
        <v>45821</v>
      </c>
      <c r="F3" s="132">
        <v>46165</v>
      </c>
      <c r="G3" s="134">
        <v>46165</v>
      </c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77"/>
      <c r="BJ3" s="177"/>
      <c r="BK3" s="177"/>
      <c r="BL3" s="177"/>
      <c r="BM3" s="177"/>
      <c r="BN3" s="177"/>
      <c r="BO3" s="177"/>
      <c r="BP3" s="177"/>
      <c r="BQ3" s="177"/>
      <c r="BR3" s="177"/>
      <c r="BS3" s="177"/>
      <c r="BT3" s="177"/>
      <c r="BU3" s="177"/>
      <c r="BV3" s="177"/>
      <c r="BW3" s="177"/>
      <c r="BX3" s="177"/>
      <c r="BY3" s="177"/>
      <c r="BZ3" s="177"/>
      <c r="CA3" s="177"/>
      <c r="CB3" s="177"/>
      <c r="CC3" s="177"/>
      <c r="CD3" s="177"/>
      <c r="CE3" s="177"/>
      <c r="CF3" s="177"/>
      <c r="CG3" s="177"/>
      <c r="CH3" s="177"/>
      <c r="CI3" s="177"/>
      <c r="CJ3" s="177"/>
      <c r="CK3" s="177"/>
      <c r="CL3" s="177"/>
      <c r="CM3" s="177"/>
      <c r="CN3" s="177"/>
      <c r="CO3" s="177"/>
      <c r="CP3" s="177"/>
      <c r="CQ3" s="177"/>
      <c r="CR3" s="177"/>
      <c r="CS3" s="177"/>
      <c r="CT3" s="177"/>
      <c r="CU3" s="177"/>
      <c r="CV3" s="177"/>
      <c r="CW3" s="177"/>
      <c r="CX3" s="177"/>
      <c r="CY3" s="177"/>
      <c r="CZ3" s="177"/>
      <c r="DA3" s="177"/>
      <c r="DB3" s="177"/>
      <c r="DC3" s="177"/>
      <c r="DD3" s="177"/>
      <c r="DE3" s="177"/>
      <c r="DF3" s="177"/>
      <c r="DG3" s="177"/>
      <c r="DH3" s="177"/>
      <c r="DI3" s="177"/>
      <c r="DJ3" s="177"/>
      <c r="DK3" s="177"/>
      <c r="DL3" s="177"/>
      <c r="DM3" s="177"/>
      <c r="DN3" s="177"/>
      <c r="DO3" s="177"/>
      <c r="DP3" s="177"/>
      <c r="DQ3" s="177"/>
      <c r="DR3" s="177"/>
      <c r="DS3" s="177"/>
      <c r="DT3" s="177"/>
      <c r="DU3" s="177"/>
      <c r="DV3" s="177"/>
      <c r="DW3" s="177"/>
      <c r="DX3" s="177"/>
      <c r="DY3" s="177"/>
      <c r="DZ3" s="177"/>
      <c r="EA3" s="177"/>
      <c r="EB3" s="177"/>
      <c r="EC3" s="177"/>
      <c r="ED3" s="177"/>
      <c r="EE3" s="177"/>
      <c r="EF3" s="177"/>
      <c r="EG3" s="177"/>
      <c r="EH3" s="177"/>
      <c r="EI3" s="177"/>
      <c r="EJ3" s="177"/>
      <c r="EK3" s="177"/>
      <c r="EL3" s="177"/>
      <c r="EM3" s="177"/>
      <c r="EN3" s="177"/>
      <c r="EO3" s="177"/>
      <c r="EP3" s="177"/>
      <c r="EQ3" s="177"/>
      <c r="ER3" s="177"/>
      <c r="ES3" s="177"/>
      <c r="ET3" s="177"/>
      <c r="EU3" s="177"/>
      <c r="EV3" s="177"/>
      <c r="EW3" s="177"/>
      <c r="EX3" s="177"/>
      <c r="EY3" s="177"/>
      <c r="EZ3" s="177"/>
      <c r="FA3" s="177"/>
      <c r="FB3" s="177"/>
      <c r="FC3" s="177"/>
      <c r="FD3" s="177"/>
      <c r="FE3" s="177"/>
      <c r="FF3" s="177"/>
      <c r="FG3" s="177"/>
      <c r="FH3" s="177"/>
      <c r="FI3" s="177"/>
      <c r="FJ3" s="177"/>
      <c r="FK3" s="177"/>
      <c r="FL3" s="177"/>
      <c r="FM3" s="177"/>
      <c r="FN3" s="177"/>
      <c r="FO3" s="177"/>
      <c r="FP3" s="177"/>
      <c r="FQ3" s="177"/>
      <c r="FR3" s="177"/>
      <c r="FS3" s="177"/>
      <c r="FT3" s="177"/>
      <c r="FU3" s="177"/>
      <c r="FV3" s="177"/>
      <c r="FW3" s="177"/>
    </row>
    <row r="4" spans="1:179" s="88" customFormat="1">
      <c r="A4" s="115" t="s">
        <v>117</v>
      </c>
      <c r="B4" s="115"/>
      <c r="C4" s="117" t="s">
        <v>76</v>
      </c>
      <c r="D4" s="117" t="s">
        <v>63</v>
      </c>
      <c r="E4" s="113">
        <v>46070</v>
      </c>
      <c r="F4" s="113">
        <v>46129</v>
      </c>
      <c r="G4" s="124">
        <v>46129</v>
      </c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77"/>
      <c r="BJ4" s="177"/>
      <c r="BK4" s="177"/>
      <c r="BL4" s="177"/>
      <c r="BM4" s="177"/>
      <c r="BN4" s="177"/>
      <c r="BO4" s="177"/>
      <c r="BP4" s="177"/>
      <c r="BQ4" s="177"/>
      <c r="BR4" s="177"/>
      <c r="BS4" s="177"/>
      <c r="BT4" s="177"/>
      <c r="BU4" s="177"/>
      <c r="BV4" s="177"/>
      <c r="BW4" s="177"/>
      <c r="BX4" s="177"/>
      <c r="BY4" s="177"/>
      <c r="BZ4" s="177"/>
      <c r="CA4" s="177"/>
      <c r="CB4" s="177"/>
      <c r="CC4" s="177"/>
      <c r="CD4" s="177"/>
      <c r="CE4" s="177"/>
      <c r="CF4" s="177"/>
      <c r="CG4" s="177"/>
      <c r="CH4" s="177"/>
      <c r="CI4" s="177"/>
      <c r="CJ4" s="177"/>
      <c r="CK4" s="177"/>
      <c r="CL4" s="177"/>
      <c r="CM4" s="177"/>
      <c r="CN4" s="177"/>
      <c r="CO4" s="177"/>
      <c r="CP4" s="177"/>
      <c r="CQ4" s="177"/>
      <c r="CR4" s="177"/>
      <c r="CS4" s="177"/>
      <c r="CT4" s="177"/>
      <c r="CU4" s="177"/>
      <c r="CV4" s="177"/>
      <c r="CW4" s="177"/>
      <c r="CX4" s="177"/>
      <c r="CY4" s="177"/>
      <c r="CZ4" s="177"/>
      <c r="DA4" s="177"/>
      <c r="DB4" s="177"/>
      <c r="DC4" s="177"/>
      <c r="DD4" s="177"/>
      <c r="DE4" s="177"/>
      <c r="DF4" s="177"/>
      <c r="DG4" s="177"/>
      <c r="DH4" s="177"/>
      <c r="DI4" s="177"/>
      <c r="DJ4" s="177"/>
      <c r="DK4" s="177"/>
      <c r="DL4" s="177"/>
      <c r="DM4" s="177"/>
      <c r="DN4" s="177"/>
      <c r="DO4" s="177"/>
      <c r="DP4" s="177"/>
      <c r="DQ4" s="177"/>
      <c r="DR4" s="177"/>
      <c r="DS4" s="177"/>
      <c r="DT4" s="177"/>
      <c r="DU4" s="177"/>
      <c r="DV4" s="177"/>
      <c r="DW4" s="177"/>
      <c r="DX4" s="177"/>
      <c r="DY4" s="177"/>
      <c r="DZ4" s="177"/>
      <c r="EA4" s="177"/>
      <c r="EB4" s="177"/>
      <c r="EC4" s="177"/>
      <c r="ED4" s="177"/>
      <c r="EE4" s="177"/>
      <c r="EF4" s="177"/>
      <c r="EG4" s="177"/>
      <c r="EH4" s="177"/>
      <c r="EI4" s="177"/>
      <c r="EJ4" s="177"/>
      <c r="EK4" s="177"/>
      <c r="EL4" s="177"/>
      <c r="EM4" s="177"/>
      <c r="EN4" s="177"/>
      <c r="EO4" s="177"/>
      <c r="EP4" s="177"/>
      <c r="EQ4" s="177"/>
      <c r="ER4" s="177"/>
      <c r="ES4" s="177"/>
      <c r="ET4" s="177"/>
      <c r="EU4" s="177"/>
      <c r="EV4" s="177"/>
      <c r="EW4" s="177"/>
      <c r="EX4" s="177"/>
      <c r="EY4" s="177"/>
      <c r="EZ4" s="177"/>
      <c r="FA4" s="177"/>
      <c r="FB4" s="177"/>
      <c r="FC4" s="177"/>
      <c r="FD4" s="177"/>
      <c r="FE4" s="177"/>
      <c r="FF4" s="177"/>
      <c r="FG4" s="177"/>
      <c r="FH4" s="177"/>
      <c r="FI4" s="177"/>
      <c r="FJ4" s="177"/>
      <c r="FK4" s="177"/>
      <c r="FL4" s="177"/>
      <c r="FM4" s="177"/>
      <c r="FN4" s="177"/>
      <c r="FO4" s="177"/>
      <c r="FP4" s="177"/>
      <c r="FQ4" s="177"/>
      <c r="FR4" s="177"/>
      <c r="FS4" s="177"/>
      <c r="FT4" s="177"/>
      <c r="FU4" s="177"/>
      <c r="FV4" s="177"/>
      <c r="FW4" s="177"/>
    </row>
    <row r="5" spans="1:179" s="88" customFormat="1">
      <c r="A5" s="75" t="s">
        <v>155</v>
      </c>
      <c r="B5" s="75"/>
      <c r="C5" s="77" t="s">
        <v>76</v>
      </c>
      <c r="D5" s="77" t="s">
        <v>63</v>
      </c>
      <c r="E5" s="76">
        <v>45894</v>
      </c>
      <c r="F5" s="76">
        <v>46047</v>
      </c>
      <c r="G5" s="175">
        <v>46047</v>
      </c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77"/>
      <c r="BJ5" s="177"/>
      <c r="BK5" s="177"/>
      <c r="BL5" s="177"/>
      <c r="BM5" s="177"/>
      <c r="BN5" s="177"/>
      <c r="BO5" s="177"/>
      <c r="BP5" s="177"/>
      <c r="BQ5" s="177"/>
      <c r="BR5" s="177"/>
      <c r="BS5" s="177"/>
      <c r="BT5" s="177"/>
      <c r="BU5" s="177"/>
      <c r="BV5" s="177"/>
      <c r="BW5" s="177"/>
      <c r="BX5" s="177"/>
      <c r="BY5" s="177"/>
      <c r="BZ5" s="177"/>
      <c r="CA5" s="177"/>
      <c r="CB5" s="177"/>
      <c r="CC5" s="177"/>
      <c r="CD5" s="177"/>
      <c r="CE5" s="177"/>
      <c r="CF5" s="177"/>
      <c r="CG5" s="177"/>
      <c r="CH5" s="177"/>
      <c r="CI5" s="177"/>
      <c r="CJ5" s="177"/>
      <c r="CK5" s="177"/>
      <c r="CL5" s="177"/>
      <c r="CM5" s="177"/>
      <c r="CN5" s="177"/>
      <c r="CO5" s="177"/>
      <c r="CP5" s="177"/>
      <c r="CQ5" s="177"/>
      <c r="CR5" s="177"/>
      <c r="CS5" s="177"/>
      <c r="CT5" s="177"/>
      <c r="CU5" s="177"/>
      <c r="CV5" s="177"/>
      <c r="CW5" s="177"/>
      <c r="CX5" s="177"/>
      <c r="CY5" s="177"/>
      <c r="CZ5" s="177"/>
      <c r="DA5" s="177"/>
      <c r="DB5" s="177"/>
      <c r="DC5" s="177"/>
      <c r="DD5" s="177"/>
      <c r="DE5" s="177"/>
      <c r="DF5" s="177"/>
      <c r="DG5" s="177"/>
      <c r="DH5" s="177"/>
      <c r="DI5" s="177"/>
      <c r="DJ5" s="177"/>
      <c r="DK5" s="177"/>
      <c r="DL5" s="177"/>
      <c r="DM5" s="177"/>
      <c r="DN5" s="177"/>
      <c r="DO5" s="177"/>
      <c r="DP5" s="177"/>
      <c r="DQ5" s="177"/>
      <c r="DR5" s="177"/>
      <c r="DS5" s="177"/>
      <c r="DT5" s="177"/>
      <c r="DU5" s="177"/>
      <c r="DV5" s="177"/>
      <c r="DW5" s="177"/>
      <c r="DX5" s="177"/>
      <c r="DY5" s="177"/>
      <c r="DZ5" s="177"/>
      <c r="EA5" s="177"/>
      <c r="EB5" s="177"/>
      <c r="EC5" s="177"/>
      <c r="ED5" s="177"/>
      <c r="EE5" s="177"/>
      <c r="EF5" s="177"/>
      <c r="EG5" s="177"/>
      <c r="EH5" s="177"/>
      <c r="EI5" s="177"/>
      <c r="EJ5" s="177"/>
      <c r="EK5" s="177"/>
      <c r="EL5" s="177"/>
      <c r="EM5" s="177"/>
      <c r="EN5" s="177"/>
      <c r="EO5" s="177"/>
      <c r="EP5" s="177"/>
      <c r="EQ5" s="177"/>
      <c r="ER5" s="177"/>
      <c r="ES5" s="177"/>
      <c r="ET5" s="177"/>
      <c r="EU5" s="177"/>
      <c r="EV5" s="177"/>
      <c r="EW5" s="177"/>
      <c r="EX5" s="177"/>
      <c r="EY5" s="177"/>
      <c r="EZ5" s="177"/>
      <c r="FA5" s="177"/>
      <c r="FB5" s="177"/>
      <c r="FC5" s="177"/>
      <c r="FD5" s="177"/>
      <c r="FE5" s="177"/>
      <c r="FF5" s="177"/>
      <c r="FG5" s="177"/>
      <c r="FH5" s="177"/>
      <c r="FI5" s="177"/>
      <c r="FJ5" s="177"/>
      <c r="FK5" s="177"/>
      <c r="FL5" s="177"/>
      <c r="FM5" s="177"/>
      <c r="FN5" s="177"/>
      <c r="FO5" s="177"/>
      <c r="FP5" s="177"/>
      <c r="FQ5" s="177"/>
      <c r="FR5" s="177"/>
      <c r="FS5" s="177"/>
      <c r="FT5" s="177"/>
      <c r="FU5" s="177"/>
      <c r="FV5" s="177"/>
      <c r="FW5" s="177"/>
    </row>
    <row r="6" spans="1:179"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58"/>
      <c r="EZ6" s="58"/>
      <c r="FA6" s="58"/>
      <c r="FB6" s="58"/>
      <c r="FC6" s="58"/>
      <c r="FD6" s="58"/>
      <c r="FE6" s="58"/>
      <c r="FF6" s="58"/>
      <c r="FG6" s="58"/>
      <c r="FH6" s="58"/>
      <c r="FI6" s="58"/>
      <c r="FJ6" s="58"/>
      <c r="FK6" s="58"/>
      <c r="FL6" s="58"/>
      <c r="FM6" s="58"/>
      <c r="FN6" s="58"/>
      <c r="FO6" s="58"/>
      <c r="FP6" s="58"/>
      <c r="FQ6" s="58"/>
      <c r="FR6" s="58"/>
      <c r="FS6" s="58"/>
      <c r="FT6" s="58"/>
      <c r="FU6" s="58"/>
      <c r="FV6" s="58"/>
      <c r="FW6" s="58"/>
    </row>
  </sheetData>
  <mergeCells count="7">
    <mergeCell ref="G1:G2"/>
    <mergeCell ref="E1:E2"/>
    <mergeCell ref="F1:F2"/>
    <mergeCell ref="A1:A2"/>
    <mergeCell ref="B1:B2"/>
    <mergeCell ref="C1:C2"/>
    <mergeCell ref="D1:D2"/>
  </mergeCells>
  <conditionalFormatting sqref="A1:F1">
    <cfRule type="containsBlanks" dxfId="21" priority="19">
      <formula>LEN(TRIM(A1))=0</formula>
    </cfRule>
    <cfRule type="expression" dxfId="20" priority="20">
      <formula>$C1="N.A."</formula>
    </cfRule>
  </conditionalFormatting>
  <conditionalFormatting sqref="A3:G3 A4:XFD4 A5:G5">
    <cfRule type="expression" dxfId="19" priority="33">
      <formula>$C3="N.A."</formula>
    </cfRule>
  </conditionalFormatting>
  <conditionalFormatting sqref="A3:XFD5">
    <cfRule type="containsBlanks" dxfId="18" priority="32">
      <formula>LEN(TRIM(A3))=0</formula>
    </cfRule>
  </conditionalFormatting>
  <conditionalFormatting sqref="F3:G5 F1">
    <cfRule type="cellIs" dxfId="17" priority="228" operator="lessThanOrEqual">
      <formula>#REF!</formula>
    </cfRule>
  </conditionalFormatting>
  <conditionalFormatting sqref="H1:XFD2">
    <cfRule type="containsBlanks" dxfId="16" priority="28">
      <formula>LEN(TRIM(H1))=0</formula>
    </cfRule>
    <cfRule type="expression" dxfId="15" priority="29">
      <formula>$C1="N.A."</formula>
    </cfRule>
  </conditionalFormatting>
  <conditionalFormatting sqref="H3:XFD3">
    <cfRule type="expression" dxfId="14" priority="38">
      <formula>$C4="N.A."</formula>
    </cfRule>
  </conditionalFormatting>
  <conditionalFormatting sqref="H5:XFD5">
    <cfRule type="expression" dxfId="13" priority="229">
      <formula>#REF!="N.A."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BE19682-7D17-4157-92B1-031170F4E0D0}">
          <x14:formula1>
            <xm:f>#REF!</xm:f>
          </x14:formula1>
          <xm:sqref>A3:A5 A1</xm:sqref>
        </x14:dataValidation>
        <x14:dataValidation type="list" allowBlank="1" showInputMessage="1" showErrorMessage="1" xr:uid="{6B41C785-AADC-489B-813B-DFDBF5206A13}">
          <x14:formula1>
            <xm:f>#REF!</xm:f>
          </x14:formula1>
          <xm:sqref>C3:C5 C1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BC3C-E195-41DF-B66A-A9C158061A87}">
  <dimension ref="A1:H22"/>
  <sheetViews>
    <sheetView zoomScale="80" zoomScaleNormal="80" workbookViewId="0">
      <pane ySplit="1" topLeftCell="A2" activePane="bottomLeft" state="frozen"/>
      <selection pane="bottomLeft" activeCell="D16" sqref="D16"/>
    </sheetView>
  </sheetViews>
  <sheetFormatPr defaultColWidth="8.8984375" defaultRowHeight="14.4"/>
  <cols>
    <col min="1" max="1" width="33.296875" style="12" customWidth="1"/>
    <col min="2" max="2" width="10.19921875" style="19" customWidth="1"/>
    <col min="3" max="3" width="9.09765625" style="12" customWidth="1"/>
    <col min="4" max="4" width="9.8984375" style="12" customWidth="1"/>
    <col min="5" max="5" width="8.8984375" style="12"/>
    <col min="6" max="6" width="48.8984375" style="12" customWidth="1"/>
    <col min="7" max="7" width="19.09765625" style="22" customWidth="1"/>
    <col min="8" max="8" width="78.8984375" style="12" customWidth="1"/>
    <col min="9" max="16384" width="8.8984375" style="12"/>
  </cols>
  <sheetData>
    <row r="1" spans="1:8" ht="26.4">
      <c r="B1" s="281" t="s">
        <v>343</v>
      </c>
      <c r="C1" s="281" t="s">
        <v>344</v>
      </c>
      <c r="D1" s="281" t="s">
        <v>345</v>
      </c>
    </row>
    <row r="2" spans="1:8" ht="15" thickBot="1">
      <c r="B2" s="227"/>
      <c r="C2" s="227"/>
      <c r="D2" s="227"/>
    </row>
    <row r="3" spans="1:8" s="13" customFormat="1" ht="17.399999999999999">
      <c r="A3" s="229" t="s">
        <v>169</v>
      </c>
      <c r="F3" s="108" t="s">
        <v>346</v>
      </c>
      <c r="G3" s="385" t="s">
        <v>347</v>
      </c>
      <c r="H3" s="386"/>
    </row>
    <row r="4" spans="1:8" s="15" customFormat="1" ht="15.6">
      <c r="A4" s="225" t="s">
        <v>348</v>
      </c>
      <c r="B4" s="14">
        <v>128</v>
      </c>
      <c r="C4" s="14"/>
      <c r="D4" s="14">
        <f>B4+C4</f>
        <v>128</v>
      </c>
      <c r="F4" s="109" t="s">
        <v>349</v>
      </c>
      <c r="G4" s="387" t="s">
        <v>347</v>
      </c>
      <c r="H4" s="388"/>
    </row>
    <row r="5" spans="1:8" s="15" customFormat="1" ht="16.05" customHeight="1">
      <c r="A5" s="228" t="s">
        <v>350</v>
      </c>
      <c r="B5" s="17">
        <v>60</v>
      </c>
      <c r="C5" s="14"/>
      <c r="D5" s="14">
        <f t="shared" ref="D5" si="0">B5+C5</f>
        <v>60</v>
      </c>
      <c r="F5" s="109" t="s">
        <v>455</v>
      </c>
      <c r="G5" s="387"/>
      <c r="H5" s="388"/>
    </row>
    <row r="6" spans="1:8" ht="16.350000000000001" customHeight="1">
      <c r="A6" s="225" t="s">
        <v>353</v>
      </c>
      <c r="B6" s="226">
        <v>40</v>
      </c>
      <c r="C6" s="226">
        <f>B6*22/100</f>
        <v>8.8000000000000007</v>
      </c>
      <c r="D6" s="226">
        <f>B6+C6</f>
        <v>48.8</v>
      </c>
      <c r="F6" s="109" t="s">
        <v>351</v>
      </c>
      <c r="G6" s="395" t="s">
        <v>352</v>
      </c>
      <c r="H6" s="392"/>
    </row>
    <row r="7" spans="1:8" ht="16.350000000000001" customHeight="1">
      <c r="F7" s="109" t="s">
        <v>454</v>
      </c>
      <c r="G7" s="276" t="s">
        <v>354</v>
      </c>
      <c r="H7" s="275"/>
    </row>
    <row r="8" spans="1:8" s="13" customFormat="1" ht="16.95" customHeight="1">
      <c r="A8" s="229" t="s">
        <v>171</v>
      </c>
      <c r="B8" s="18"/>
      <c r="F8" s="109" t="s">
        <v>355</v>
      </c>
      <c r="G8" s="276" t="s">
        <v>354</v>
      </c>
      <c r="H8" s="275"/>
    </row>
    <row r="9" spans="1:8" s="13" customFormat="1" ht="19.95" customHeight="1" thickBot="1">
      <c r="A9" s="16" t="s">
        <v>358</v>
      </c>
      <c r="B9" s="17">
        <v>45</v>
      </c>
      <c r="C9" s="17">
        <f>(B9*22)/100</f>
        <v>9.9</v>
      </c>
      <c r="D9" s="17">
        <f>B9+C9</f>
        <v>54.9</v>
      </c>
      <c r="F9" s="224" t="s">
        <v>356</v>
      </c>
      <c r="G9" s="277" t="s">
        <v>357</v>
      </c>
      <c r="H9" s="278"/>
    </row>
    <row r="10" spans="1:8" s="15" customFormat="1" ht="25.2" customHeight="1">
      <c r="A10" s="16" t="s">
        <v>456</v>
      </c>
      <c r="B10" s="17">
        <v>45</v>
      </c>
      <c r="C10" s="17">
        <f t="shared" ref="C10:C18" si="1">(B10*22)/100</f>
        <v>9.9</v>
      </c>
      <c r="D10" s="17">
        <f t="shared" ref="D10:D11" si="2">B10+C10</f>
        <v>54.9</v>
      </c>
      <c r="G10" s="24"/>
    </row>
    <row r="11" spans="1:8" s="15" customFormat="1" ht="25.95" customHeight="1">
      <c r="A11" s="16" t="s">
        <v>359</v>
      </c>
      <c r="B11" s="17">
        <v>90</v>
      </c>
      <c r="C11" s="14">
        <f t="shared" si="1"/>
        <v>19.8</v>
      </c>
      <c r="D11" s="14">
        <f t="shared" si="2"/>
        <v>109.8</v>
      </c>
      <c r="F11" s="12"/>
      <c r="G11" s="22"/>
      <c r="H11" s="12"/>
    </row>
    <row r="12" spans="1:8" s="15" customFormat="1" ht="15" thickBot="1">
      <c r="A12" s="16" t="s">
        <v>360</v>
      </c>
      <c r="B12" s="17">
        <v>65</v>
      </c>
      <c r="C12" s="17">
        <f>(B12*22)/100</f>
        <v>14.3</v>
      </c>
      <c r="D12" s="17">
        <f>B12+C12</f>
        <v>79.3</v>
      </c>
      <c r="F12" s="12"/>
      <c r="G12" s="22"/>
      <c r="H12" s="12"/>
    </row>
    <row r="13" spans="1:8" ht="17.399999999999999">
      <c r="F13" s="393" t="s">
        <v>361</v>
      </c>
      <c r="G13" s="394"/>
      <c r="H13" s="13"/>
    </row>
    <row r="14" spans="1:8" s="13" customFormat="1" ht="17.399999999999999">
      <c r="A14" s="229" t="s">
        <v>362</v>
      </c>
      <c r="B14" s="20">
        <v>90</v>
      </c>
      <c r="C14" s="17">
        <f t="shared" si="1"/>
        <v>19.8</v>
      </c>
      <c r="D14" s="17">
        <f t="shared" ref="D14" si="3">B14+C14</f>
        <v>109.8</v>
      </c>
      <c r="F14" s="391" t="s">
        <v>363</v>
      </c>
      <c r="G14" s="392"/>
      <c r="H14" s="12"/>
    </row>
    <row r="15" spans="1:8" ht="16.2">
      <c r="C15" s="21"/>
      <c r="F15" s="391" t="s">
        <v>364</v>
      </c>
      <c r="G15" s="392"/>
    </row>
    <row r="16" spans="1:8" ht="18" thickBot="1">
      <c r="A16" s="229" t="s">
        <v>211</v>
      </c>
      <c r="B16" s="20">
        <v>70</v>
      </c>
      <c r="C16" s="17">
        <f t="shared" si="1"/>
        <v>15.4</v>
      </c>
      <c r="D16" s="17">
        <f t="shared" ref="D16" si="4">B16+C16</f>
        <v>85.4</v>
      </c>
      <c r="F16" s="389" t="s">
        <v>365</v>
      </c>
      <c r="G16" s="390"/>
    </row>
    <row r="17" spans="1:6" ht="16.2">
      <c r="C17" s="21"/>
      <c r="F17" s="23"/>
    </row>
    <row r="18" spans="1:6" ht="17.399999999999999">
      <c r="A18" s="229" t="s">
        <v>366</v>
      </c>
      <c r="B18" s="20">
        <v>65</v>
      </c>
      <c r="C18" s="17">
        <f t="shared" si="1"/>
        <v>14.3</v>
      </c>
      <c r="D18" s="17">
        <f t="shared" ref="D18" si="5">B18+C18</f>
        <v>79.3</v>
      </c>
      <c r="F18" s="23"/>
    </row>
    <row r="20" spans="1:6" ht="17.399999999999999">
      <c r="A20" s="229" t="s">
        <v>220</v>
      </c>
    </row>
    <row r="21" spans="1:6" s="15" customFormat="1">
      <c r="A21" s="16" t="s">
        <v>367</v>
      </c>
      <c r="B21" s="20">
        <v>250</v>
      </c>
      <c r="C21" s="17">
        <f>(B21*22)/100</f>
        <v>55</v>
      </c>
      <c r="D21" s="17">
        <f t="shared" ref="D21" si="6">B21+C21</f>
        <v>305</v>
      </c>
    </row>
    <row r="22" spans="1:6" s="15" customFormat="1" ht="22.8">
      <c r="A22" s="16" t="s">
        <v>368</v>
      </c>
      <c r="B22" s="20">
        <v>65</v>
      </c>
      <c r="C22" s="17">
        <f>(B22*22)/100</f>
        <v>14.3</v>
      </c>
      <c r="D22" s="17">
        <f t="shared" ref="D22" si="7">B22+C22</f>
        <v>79.3</v>
      </c>
    </row>
  </sheetData>
  <mergeCells count="7">
    <mergeCell ref="G3:H3"/>
    <mergeCell ref="G4:H5"/>
    <mergeCell ref="F16:G16"/>
    <mergeCell ref="F15:G15"/>
    <mergeCell ref="F14:G14"/>
    <mergeCell ref="F13:G13"/>
    <mergeCell ref="G6:H6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EEAF6"/>
  </sheetPr>
  <dimension ref="A1:AS16"/>
  <sheetViews>
    <sheetView tabSelected="1" zoomScale="120" zoomScaleNormal="12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W2" sqref="W2"/>
    </sheetView>
  </sheetViews>
  <sheetFormatPr defaultColWidth="11.09765625" defaultRowHeight="22.35" customHeight="1"/>
  <cols>
    <col min="1" max="1" width="7.59765625" style="68" customWidth="1"/>
    <col min="2" max="2" width="8.59765625" style="65" customWidth="1"/>
    <col min="3" max="3" width="7.5" style="67" customWidth="1"/>
    <col min="4" max="4" width="25.59765625" style="65" bestFit="1" customWidth="1"/>
    <col min="5" max="5" width="25.59765625" style="65" customWidth="1"/>
    <col min="6" max="9" width="11.8984375" style="65" customWidth="1"/>
    <col min="10" max="11" width="11.09765625" style="71" customWidth="1"/>
    <col min="12" max="12" width="16.3984375" style="71" customWidth="1"/>
    <col min="13" max="13" width="11.09765625" style="71" customWidth="1"/>
    <col min="14" max="14" width="8.5" style="71" customWidth="1"/>
    <col min="15" max="15" width="14.59765625" style="71" customWidth="1"/>
    <col min="16" max="16" width="8.5" style="65" customWidth="1"/>
    <col min="17" max="17" width="15.09765625" style="71" customWidth="1"/>
    <col min="18" max="18" width="8.5" style="101" customWidth="1"/>
    <col min="19" max="19" width="32.09765625" style="73" customWidth="1"/>
    <col min="20" max="20" width="41.09765625" style="73" customWidth="1"/>
    <col min="21" max="21" width="29.5" style="102" customWidth="1"/>
    <col min="22" max="22" width="10.8984375" style="68" customWidth="1"/>
    <col min="23" max="23" width="12.59765625" style="68" customWidth="1"/>
    <col min="24" max="24" width="13.59765625" style="70" customWidth="1"/>
    <col min="25" max="25" width="12.59765625" style="71" customWidth="1"/>
    <col min="26" max="26" width="17.5" style="71" customWidth="1"/>
    <col min="27" max="27" width="18.59765625" style="71" customWidth="1"/>
    <col min="28" max="28" width="18.5" style="71" customWidth="1"/>
    <col min="29" max="29" width="21.5" style="69" customWidth="1"/>
    <col min="30" max="30" width="11.59765625" style="65" customWidth="1"/>
    <col min="31" max="31" width="14.59765625" style="71" customWidth="1"/>
    <col min="32" max="33" width="12.59765625" style="72" customWidth="1"/>
    <col min="34" max="35" width="12.59765625" customWidth="1"/>
    <col min="36" max="37" width="12.59765625" style="65" customWidth="1"/>
    <col min="38" max="38" width="15.5" style="71" bestFit="1" customWidth="1"/>
    <col min="39" max="39" width="11.59765625" style="71" customWidth="1"/>
    <col min="40" max="42" width="11.09765625" style="23"/>
    <col min="43" max="43" width="11.09765625" style="65"/>
    <col min="44" max="44" width="12" style="65" bestFit="1" customWidth="1"/>
    <col min="45" max="16384" width="11.09765625" style="65"/>
  </cols>
  <sheetData>
    <row r="1" spans="1:45" ht="52.35" customHeight="1" thickBot="1">
      <c r="A1" s="158" t="s">
        <v>369</v>
      </c>
      <c r="B1" s="159" t="s">
        <v>370</v>
      </c>
      <c r="C1" s="160" t="s">
        <v>371</v>
      </c>
      <c r="D1" s="160" t="s">
        <v>372</v>
      </c>
      <c r="E1" s="160" t="s">
        <v>373</v>
      </c>
      <c r="F1" s="161" t="s">
        <v>374</v>
      </c>
      <c r="G1" s="161" t="s">
        <v>375</v>
      </c>
      <c r="H1" s="161" t="s">
        <v>427</v>
      </c>
      <c r="I1" s="161" t="s">
        <v>428</v>
      </c>
      <c r="J1" s="161" t="s">
        <v>376</v>
      </c>
      <c r="K1" s="161" t="s">
        <v>377</v>
      </c>
      <c r="L1" s="161" t="s">
        <v>378</v>
      </c>
      <c r="M1" s="161" t="s">
        <v>379</v>
      </c>
      <c r="N1" s="161" t="s">
        <v>380</v>
      </c>
      <c r="O1" s="161" t="s">
        <v>381</v>
      </c>
      <c r="P1" s="161" t="s">
        <v>382</v>
      </c>
      <c r="Q1" s="161" t="s">
        <v>383</v>
      </c>
      <c r="R1" s="162" t="s">
        <v>384</v>
      </c>
      <c r="S1" s="162" t="s">
        <v>385</v>
      </c>
      <c r="T1" s="162" t="s">
        <v>386</v>
      </c>
      <c r="U1" s="159" t="s">
        <v>39</v>
      </c>
      <c r="V1" s="160" t="s">
        <v>387</v>
      </c>
      <c r="W1" s="160" t="s">
        <v>388</v>
      </c>
      <c r="X1" s="160" t="s">
        <v>389</v>
      </c>
      <c r="Y1" s="161" t="s">
        <v>390</v>
      </c>
      <c r="Z1" s="161" t="s">
        <v>391</v>
      </c>
      <c r="AA1" s="161" t="s">
        <v>392</v>
      </c>
      <c r="AB1" s="161" t="s">
        <v>393</v>
      </c>
      <c r="AC1" s="160" t="s">
        <v>394</v>
      </c>
      <c r="AD1" s="160" t="s">
        <v>395</v>
      </c>
      <c r="AE1" s="160" t="s">
        <v>396</v>
      </c>
      <c r="AF1" s="163" t="s">
        <v>397</v>
      </c>
      <c r="AG1" s="163" t="s">
        <v>398</v>
      </c>
      <c r="AH1" s="163" t="s">
        <v>399</v>
      </c>
      <c r="AI1" s="163" t="s">
        <v>400</v>
      </c>
      <c r="AJ1" s="160" t="s">
        <v>401</v>
      </c>
      <c r="AK1" s="160" t="s">
        <v>402</v>
      </c>
      <c r="AL1" s="164" t="s">
        <v>403</v>
      </c>
      <c r="AM1" s="396" t="s">
        <v>404</v>
      </c>
      <c r="AN1" s="397"/>
      <c r="AO1" s="397"/>
      <c r="AP1" s="397"/>
      <c r="AQ1" s="398"/>
      <c r="AR1" s="101"/>
      <c r="AS1" s="100"/>
    </row>
    <row r="2" spans="1:45" ht="22.35" customHeight="1">
      <c r="A2" s="95" t="s">
        <v>62</v>
      </c>
      <c r="B2" s="96" t="s">
        <v>99</v>
      </c>
      <c r="C2" s="97" t="s">
        <v>405</v>
      </c>
      <c r="D2" s="96" t="s">
        <v>552</v>
      </c>
      <c r="E2" s="96"/>
      <c r="F2" s="63" t="s">
        <v>71</v>
      </c>
      <c r="G2" s="98" t="s">
        <v>71</v>
      </c>
      <c r="H2" s="98"/>
      <c r="I2" s="98"/>
      <c r="J2" s="98" t="s">
        <v>89</v>
      </c>
      <c r="K2" s="98" t="s">
        <v>406</v>
      </c>
      <c r="L2" s="98" t="s">
        <v>407</v>
      </c>
      <c r="M2" s="98">
        <v>34945</v>
      </c>
      <c r="N2" s="98" t="s">
        <v>71</v>
      </c>
      <c r="O2" s="98">
        <v>49190</v>
      </c>
      <c r="P2" s="95" t="s">
        <v>71</v>
      </c>
      <c r="Q2" s="98">
        <v>45875</v>
      </c>
      <c r="R2" s="95" t="s">
        <v>71</v>
      </c>
      <c r="S2" s="64" t="s">
        <v>550</v>
      </c>
      <c r="T2" s="64" t="s">
        <v>550</v>
      </c>
      <c r="U2" s="64" t="s">
        <v>550</v>
      </c>
      <c r="V2" s="64" t="s">
        <v>550</v>
      </c>
      <c r="W2" s="64" t="s">
        <v>550</v>
      </c>
      <c r="X2" s="98"/>
      <c r="Y2" s="98"/>
      <c r="Z2" s="98"/>
      <c r="AA2" s="98"/>
      <c r="AB2" s="98"/>
      <c r="AC2" s="93" t="s">
        <v>408</v>
      </c>
      <c r="AD2" s="95">
        <v>23</v>
      </c>
      <c r="AE2" s="98">
        <v>46185</v>
      </c>
      <c r="AF2" s="99"/>
      <c r="AG2" s="95"/>
      <c r="AH2" s="146"/>
      <c r="AI2" s="92"/>
      <c r="AJ2" s="95" t="s">
        <v>66</v>
      </c>
      <c r="AK2" s="98">
        <v>45797</v>
      </c>
      <c r="AL2" s="98"/>
      <c r="AM2" s="98"/>
      <c r="AN2" s="98"/>
      <c r="AO2" s="98"/>
      <c r="AP2" s="98"/>
      <c r="AQ2" s="98"/>
      <c r="AR2" s="101"/>
    </row>
    <row r="3" spans="1:45" ht="27" customHeight="1">
      <c r="A3" s="95" t="s">
        <v>76</v>
      </c>
      <c r="B3" s="96" t="s">
        <v>146</v>
      </c>
      <c r="C3" s="97" t="s">
        <v>409</v>
      </c>
      <c r="D3" s="96" t="s">
        <v>552</v>
      </c>
      <c r="E3" s="96"/>
      <c r="F3" s="63"/>
      <c r="G3" s="98" t="s">
        <v>71</v>
      </c>
      <c r="H3" s="98"/>
      <c r="I3" s="98" t="s">
        <v>71</v>
      </c>
      <c r="J3" s="98" t="s">
        <v>89</v>
      </c>
      <c r="K3" s="98" t="s">
        <v>410</v>
      </c>
      <c r="L3" s="98" t="s">
        <v>411</v>
      </c>
      <c r="M3" s="98">
        <v>37243</v>
      </c>
      <c r="N3" s="98" t="s">
        <v>71</v>
      </c>
      <c r="O3" s="98">
        <v>48566</v>
      </c>
      <c r="P3" s="95" t="s">
        <v>71</v>
      </c>
      <c r="Q3" s="98">
        <v>47179</v>
      </c>
      <c r="R3" s="95" t="s">
        <v>71</v>
      </c>
      <c r="S3" s="197" t="s">
        <v>553</v>
      </c>
      <c r="T3" s="197" t="s">
        <v>553</v>
      </c>
      <c r="U3" s="197" t="s">
        <v>553</v>
      </c>
      <c r="V3" s="197" t="s">
        <v>553</v>
      </c>
      <c r="W3" s="197" t="s">
        <v>553</v>
      </c>
      <c r="X3" s="98">
        <v>46023</v>
      </c>
      <c r="Y3" s="98"/>
      <c r="Z3" s="98"/>
      <c r="AA3" s="98"/>
      <c r="AB3" s="98"/>
      <c r="AC3" s="93" t="s">
        <v>412</v>
      </c>
      <c r="AD3" s="95">
        <v>30</v>
      </c>
      <c r="AE3" s="98">
        <v>46387</v>
      </c>
      <c r="AF3" s="99" t="s">
        <v>71</v>
      </c>
      <c r="AG3" s="95" t="s">
        <v>413</v>
      </c>
      <c r="AH3" s="146"/>
      <c r="AI3" s="92" t="s">
        <v>413</v>
      </c>
      <c r="AJ3" s="95" t="s">
        <v>66</v>
      </c>
      <c r="AK3" s="98">
        <v>45981</v>
      </c>
      <c r="AL3" s="98"/>
      <c r="AM3" s="98"/>
      <c r="AN3" s="98"/>
      <c r="AO3" s="98"/>
      <c r="AP3" s="98"/>
      <c r="AQ3" s="98"/>
      <c r="AR3" s="101"/>
    </row>
    <row r="4" spans="1:45" ht="14.4" customHeight="1">
      <c r="A4" s="95" t="s">
        <v>76</v>
      </c>
      <c r="B4" s="96" t="s">
        <v>61</v>
      </c>
      <c r="C4" s="97" t="s">
        <v>409</v>
      </c>
      <c r="D4" s="96" t="s">
        <v>552</v>
      </c>
      <c r="E4" s="96"/>
      <c r="F4" s="63"/>
      <c r="G4" s="98" t="s">
        <v>71</v>
      </c>
      <c r="H4" s="98"/>
      <c r="I4" s="98"/>
      <c r="J4" s="98" t="s">
        <v>89</v>
      </c>
      <c r="K4" s="98" t="s">
        <v>410</v>
      </c>
      <c r="L4" s="98" t="s">
        <v>411</v>
      </c>
      <c r="M4" s="98">
        <v>37243</v>
      </c>
      <c r="N4" s="98" t="s">
        <v>71</v>
      </c>
      <c r="O4" s="98">
        <v>48566</v>
      </c>
      <c r="P4" s="95" t="s">
        <v>71</v>
      </c>
      <c r="Q4" s="98">
        <v>47179</v>
      </c>
      <c r="R4" s="95" t="s">
        <v>71</v>
      </c>
      <c r="S4" s="197" t="s">
        <v>553</v>
      </c>
      <c r="T4" s="197" t="s">
        <v>553</v>
      </c>
      <c r="U4" s="197" t="s">
        <v>553</v>
      </c>
      <c r="V4" s="197" t="s">
        <v>553</v>
      </c>
      <c r="W4" s="197" t="s">
        <v>553</v>
      </c>
      <c r="X4" s="98">
        <v>46023</v>
      </c>
      <c r="Y4" s="98"/>
      <c r="Z4" s="98"/>
      <c r="AA4" s="98"/>
      <c r="AB4" s="98"/>
      <c r="AC4" s="93" t="s">
        <v>412</v>
      </c>
      <c r="AD4" s="95">
        <v>30</v>
      </c>
      <c r="AE4" s="98">
        <v>46387</v>
      </c>
      <c r="AF4" s="99" t="s">
        <v>71</v>
      </c>
      <c r="AG4" s="95" t="s">
        <v>413</v>
      </c>
      <c r="AH4" s="146"/>
      <c r="AI4" s="92" t="s">
        <v>413</v>
      </c>
      <c r="AJ4" s="95" t="s">
        <v>66</v>
      </c>
      <c r="AK4" s="98">
        <v>45981</v>
      </c>
      <c r="AL4" s="98"/>
      <c r="AM4" s="98"/>
      <c r="AN4" s="98"/>
      <c r="AO4" s="98"/>
      <c r="AP4" s="98"/>
      <c r="AQ4" s="98"/>
      <c r="AR4" s="101"/>
    </row>
    <row r="5" spans="1:45" ht="14.4" customHeight="1">
      <c r="A5" s="95" t="s">
        <v>76</v>
      </c>
      <c r="B5" s="96" t="s">
        <v>138</v>
      </c>
      <c r="C5" s="97" t="s">
        <v>409</v>
      </c>
      <c r="D5" s="96" t="s">
        <v>552</v>
      </c>
      <c r="E5" s="219" t="s">
        <v>414</v>
      </c>
      <c r="F5" s="63"/>
      <c r="G5" s="98" t="s">
        <v>71</v>
      </c>
      <c r="H5" s="98" t="s">
        <v>71</v>
      </c>
      <c r="I5" s="98"/>
      <c r="J5" s="98" t="s">
        <v>89</v>
      </c>
      <c r="K5" s="98" t="s">
        <v>410</v>
      </c>
      <c r="L5" s="98" t="s">
        <v>411</v>
      </c>
      <c r="M5" s="98">
        <v>37243</v>
      </c>
      <c r="N5" s="98" t="s">
        <v>71</v>
      </c>
      <c r="O5" s="98">
        <v>48566</v>
      </c>
      <c r="P5" s="95" t="s">
        <v>71</v>
      </c>
      <c r="Q5" s="98">
        <v>47179</v>
      </c>
      <c r="R5" s="95" t="s">
        <v>71</v>
      </c>
      <c r="S5" s="197" t="s">
        <v>553</v>
      </c>
      <c r="T5" s="197" t="s">
        <v>553</v>
      </c>
      <c r="U5" s="197" t="s">
        <v>553</v>
      </c>
      <c r="V5" s="197" t="s">
        <v>553</v>
      </c>
      <c r="W5" s="197" t="s">
        <v>553</v>
      </c>
      <c r="X5" s="98">
        <v>46088</v>
      </c>
      <c r="Y5" s="98"/>
      <c r="Z5" s="98"/>
      <c r="AA5" s="98"/>
      <c r="AB5" s="98"/>
      <c r="AC5" s="93" t="s">
        <v>412</v>
      </c>
      <c r="AD5" s="95">
        <v>30</v>
      </c>
      <c r="AE5" s="98">
        <v>46387</v>
      </c>
      <c r="AF5" s="99" t="s">
        <v>71</v>
      </c>
      <c r="AG5" s="95" t="s">
        <v>413</v>
      </c>
      <c r="AH5" s="146"/>
      <c r="AI5" s="92" t="s">
        <v>413</v>
      </c>
      <c r="AJ5" s="95" t="s">
        <v>66</v>
      </c>
      <c r="AK5" s="98">
        <v>45981</v>
      </c>
      <c r="AL5" s="98"/>
      <c r="AM5" s="98"/>
      <c r="AN5" s="98"/>
      <c r="AO5" s="98"/>
      <c r="AP5" s="98"/>
      <c r="AQ5" s="98"/>
      <c r="AR5" s="101"/>
    </row>
    <row r="6" spans="1:45" ht="15" customHeight="1">
      <c r="A6" s="95" t="s">
        <v>76</v>
      </c>
      <c r="B6" s="96" t="s">
        <v>129</v>
      </c>
      <c r="C6" s="97" t="s">
        <v>409</v>
      </c>
      <c r="D6" s="96" t="s">
        <v>552</v>
      </c>
      <c r="E6" s="96"/>
      <c r="F6" s="63"/>
      <c r="G6" s="98"/>
      <c r="H6" s="98"/>
      <c r="I6" s="98"/>
      <c r="J6" s="98" t="s">
        <v>89</v>
      </c>
      <c r="K6" s="98" t="s">
        <v>410</v>
      </c>
      <c r="L6" s="98" t="s">
        <v>411</v>
      </c>
      <c r="M6" s="98">
        <v>37243</v>
      </c>
      <c r="N6" s="98" t="s">
        <v>71</v>
      </c>
      <c r="O6" s="98">
        <v>48566</v>
      </c>
      <c r="P6" s="95" t="s">
        <v>71</v>
      </c>
      <c r="Q6" s="98">
        <v>47179</v>
      </c>
      <c r="R6" s="95" t="s">
        <v>71</v>
      </c>
      <c r="S6" s="197" t="s">
        <v>553</v>
      </c>
      <c r="T6" s="197" t="s">
        <v>553</v>
      </c>
      <c r="U6" s="197" t="s">
        <v>553</v>
      </c>
      <c r="V6" s="197" t="s">
        <v>553</v>
      </c>
      <c r="W6" s="197" t="s">
        <v>553</v>
      </c>
      <c r="X6" s="98">
        <v>46102</v>
      </c>
      <c r="Y6" s="98"/>
      <c r="Z6" s="98"/>
      <c r="AA6" s="98"/>
      <c r="AB6" s="98"/>
      <c r="AC6" s="93" t="s">
        <v>412</v>
      </c>
      <c r="AD6" s="95">
        <v>30</v>
      </c>
      <c r="AE6" s="98">
        <v>46387</v>
      </c>
      <c r="AF6" s="99" t="s">
        <v>71</v>
      </c>
      <c r="AG6" s="95" t="s">
        <v>413</v>
      </c>
      <c r="AH6" s="146"/>
      <c r="AI6" s="92" t="s">
        <v>413</v>
      </c>
      <c r="AJ6" s="95" t="s">
        <v>66</v>
      </c>
      <c r="AK6" s="98">
        <v>45981</v>
      </c>
      <c r="AL6" s="98"/>
      <c r="AM6" s="98"/>
      <c r="AN6" s="98"/>
      <c r="AO6" s="98"/>
      <c r="AP6" s="98"/>
      <c r="AQ6" s="98"/>
      <c r="AR6" s="101"/>
    </row>
    <row r="7" spans="1:45" s="22" customFormat="1" ht="15" customHeight="1">
      <c r="A7" s="61" t="s">
        <v>76</v>
      </c>
      <c r="B7" s="60" t="s">
        <v>137</v>
      </c>
      <c r="C7" s="59" t="s">
        <v>415</v>
      </c>
      <c r="D7" s="96" t="s">
        <v>552</v>
      </c>
      <c r="E7" s="60"/>
      <c r="F7" s="63"/>
      <c r="G7" s="63" t="s">
        <v>71</v>
      </c>
      <c r="H7" s="63"/>
      <c r="I7" s="63" t="s">
        <v>71</v>
      </c>
      <c r="J7" s="63" t="s">
        <v>63</v>
      </c>
      <c r="K7" s="63" t="s">
        <v>111</v>
      </c>
      <c r="L7" s="63" t="s">
        <v>411</v>
      </c>
      <c r="M7" s="63">
        <v>28499</v>
      </c>
      <c r="N7" s="63" t="s">
        <v>71</v>
      </c>
      <c r="O7" s="63">
        <v>47492</v>
      </c>
      <c r="P7" s="61" t="s">
        <v>71</v>
      </c>
      <c r="Q7" s="63">
        <v>46709</v>
      </c>
      <c r="R7" s="61" t="s">
        <v>71</v>
      </c>
      <c r="S7" s="197" t="s">
        <v>553</v>
      </c>
      <c r="T7" s="197" t="s">
        <v>553</v>
      </c>
      <c r="U7" s="197" t="s">
        <v>553</v>
      </c>
      <c r="V7" s="61"/>
      <c r="W7" s="197" t="s">
        <v>553</v>
      </c>
      <c r="X7" s="63">
        <v>45736</v>
      </c>
      <c r="Y7" s="63"/>
      <c r="Z7" s="60"/>
      <c r="AA7" s="60"/>
      <c r="AB7" s="63"/>
      <c r="AC7" s="62" t="s">
        <v>416</v>
      </c>
      <c r="AD7" s="61">
        <v>26</v>
      </c>
      <c r="AE7" s="63">
        <v>46387</v>
      </c>
      <c r="AF7" s="61" t="s">
        <v>66</v>
      </c>
      <c r="AG7" s="61" t="s">
        <v>413</v>
      </c>
      <c r="AH7" s="107"/>
      <c r="AI7" s="92" t="s">
        <v>413</v>
      </c>
      <c r="AJ7" s="61" t="s">
        <v>66</v>
      </c>
      <c r="AK7" s="63">
        <v>41485</v>
      </c>
      <c r="AL7" s="98" t="s">
        <v>421</v>
      </c>
      <c r="AM7" s="63"/>
      <c r="AN7" s="63"/>
      <c r="AO7" s="63"/>
      <c r="AP7" s="63"/>
      <c r="AQ7" s="63"/>
      <c r="AR7" s="157"/>
    </row>
    <row r="8" spans="1:45" ht="22.35" customHeight="1">
      <c r="A8" s="61" t="s">
        <v>76</v>
      </c>
      <c r="B8" s="60" t="s">
        <v>106</v>
      </c>
      <c r="C8" s="59" t="s">
        <v>405</v>
      </c>
      <c r="D8" s="96" t="s">
        <v>552</v>
      </c>
      <c r="E8" s="60"/>
      <c r="F8" s="63"/>
      <c r="G8" s="63" t="s">
        <v>71</v>
      </c>
      <c r="H8" s="63"/>
      <c r="I8" s="63" t="s">
        <v>71</v>
      </c>
      <c r="J8" s="63" t="s">
        <v>89</v>
      </c>
      <c r="K8" s="63" t="s">
        <v>410</v>
      </c>
      <c r="L8" s="63" t="s">
        <v>411</v>
      </c>
      <c r="M8" s="63">
        <v>25435</v>
      </c>
      <c r="N8" s="63" t="s">
        <v>71</v>
      </c>
      <c r="O8" s="63">
        <v>48811</v>
      </c>
      <c r="P8" s="61" t="s">
        <v>71</v>
      </c>
      <c r="Q8" s="63">
        <v>46676</v>
      </c>
      <c r="R8" s="61" t="s">
        <v>71</v>
      </c>
      <c r="S8" s="197" t="s">
        <v>553</v>
      </c>
      <c r="T8" s="197" t="s">
        <v>553</v>
      </c>
      <c r="U8" s="197" t="s">
        <v>553</v>
      </c>
      <c r="V8" s="61"/>
      <c r="W8" s="197" t="s">
        <v>553</v>
      </c>
      <c r="X8" s="63">
        <v>45674</v>
      </c>
      <c r="Y8" s="63"/>
      <c r="Z8" s="63"/>
      <c r="AA8" s="63"/>
      <c r="AB8" s="63"/>
      <c r="AC8" s="62" t="s">
        <v>417</v>
      </c>
      <c r="AD8" s="61">
        <v>26</v>
      </c>
      <c r="AE8" s="63">
        <v>46429</v>
      </c>
      <c r="AF8" s="66" t="s">
        <v>66</v>
      </c>
      <c r="AG8" s="61" t="s">
        <v>413</v>
      </c>
      <c r="AH8" s="107"/>
      <c r="AI8" s="92" t="s">
        <v>413</v>
      </c>
      <c r="AJ8" s="61" t="s">
        <v>66</v>
      </c>
      <c r="AK8" s="63">
        <v>42906</v>
      </c>
      <c r="AL8" s="63"/>
      <c r="AM8" s="63"/>
      <c r="AN8" s="63"/>
      <c r="AO8" s="63"/>
      <c r="AP8" s="63"/>
      <c r="AQ8" s="63"/>
    </row>
    <row r="9" spans="1:45" ht="22.35" customHeight="1">
      <c r="A9" s="61" t="s">
        <v>76</v>
      </c>
      <c r="B9" s="60" t="s">
        <v>100</v>
      </c>
      <c r="C9" s="59" t="s">
        <v>405</v>
      </c>
      <c r="D9" s="96" t="s">
        <v>552</v>
      </c>
      <c r="E9" s="60"/>
      <c r="F9" s="63"/>
      <c r="G9" s="196" t="s">
        <v>71</v>
      </c>
      <c r="H9" s="196" t="s">
        <v>71</v>
      </c>
      <c r="I9" s="196"/>
      <c r="J9" s="63" t="s">
        <v>63</v>
      </c>
      <c r="K9" s="63" t="s">
        <v>410</v>
      </c>
      <c r="L9" s="63" t="s">
        <v>411</v>
      </c>
      <c r="M9" s="63">
        <v>34192</v>
      </c>
      <c r="N9" s="63" t="s">
        <v>71</v>
      </c>
      <c r="O9" s="63">
        <v>46976</v>
      </c>
      <c r="P9" s="61" t="s">
        <v>71</v>
      </c>
      <c r="Q9" s="63">
        <v>47087</v>
      </c>
      <c r="R9" s="61" t="s">
        <v>71</v>
      </c>
      <c r="S9" s="197" t="s">
        <v>553</v>
      </c>
      <c r="T9" s="197" t="s">
        <v>553</v>
      </c>
      <c r="U9" s="197" t="s">
        <v>553</v>
      </c>
      <c r="V9" s="61"/>
      <c r="W9" s="197" t="s">
        <v>553</v>
      </c>
      <c r="X9" s="63">
        <v>45836</v>
      </c>
      <c r="Y9" s="63"/>
      <c r="Z9" s="63"/>
      <c r="AA9" s="63"/>
      <c r="AB9" s="63"/>
      <c r="AC9" s="62" t="s">
        <v>418</v>
      </c>
      <c r="AD9" s="61">
        <v>26</v>
      </c>
      <c r="AE9" s="63">
        <v>46109</v>
      </c>
      <c r="AF9" s="66" t="s">
        <v>66</v>
      </c>
      <c r="AG9" s="61" t="s">
        <v>66</v>
      </c>
      <c r="AH9" s="107"/>
      <c r="AI9" s="92" t="s">
        <v>413</v>
      </c>
      <c r="AJ9" s="61" t="s">
        <v>66</v>
      </c>
      <c r="AK9" s="63">
        <v>43503</v>
      </c>
      <c r="AL9" s="63" t="s">
        <v>429</v>
      </c>
      <c r="AM9" s="63">
        <v>45402</v>
      </c>
      <c r="AN9" s="63">
        <v>45465</v>
      </c>
      <c r="AO9" s="63">
        <v>45668</v>
      </c>
      <c r="AP9" s="63">
        <v>45759</v>
      </c>
      <c r="AQ9" s="63"/>
    </row>
    <row r="10" spans="1:45" ht="15.45" customHeight="1">
      <c r="A10" s="61" t="s">
        <v>76</v>
      </c>
      <c r="B10" s="60" t="s">
        <v>140</v>
      </c>
      <c r="C10" s="59" t="s">
        <v>405</v>
      </c>
      <c r="D10" s="96" t="s">
        <v>552</v>
      </c>
      <c r="E10" s="96"/>
      <c r="F10" s="98" t="s">
        <v>71</v>
      </c>
      <c r="G10" s="63" t="s">
        <v>71</v>
      </c>
      <c r="H10" s="63"/>
      <c r="I10" s="63" t="s">
        <v>71</v>
      </c>
      <c r="J10" s="63" t="s">
        <v>63</v>
      </c>
      <c r="K10" s="63" t="s">
        <v>410</v>
      </c>
      <c r="L10" s="63" t="s">
        <v>411</v>
      </c>
      <c r="M10" s="63">
        <v>34192</v>
      </c>
      <c r="N10" s="63" t="s">
        <v>71</v>
      </c>
      <c r="O10" s="63">
        <v>46976</v>
      </c>
      <c r="P10" s="61" t="s">
        <v>71</v>
      </c>
      <c r="Q10" s="63">
        <v>47087</v>
      </c>
      <c r="R10" s="61" t="s">
        <v>71</v>
      </c>
      <c r="S10" s="197" t="s">
        <v>553</v>
      </c>
      <c r="T10" s="197" t="s">
        <v>553</v>
      </c>
      <c r="U10" s="197" t="s">
        <v>553</v>
      </c>
      <c r="V10" s="61"/>
      <c r="W10" s="197" t="s">
        <v>553</v>
      </c>
      <c r="X10" s="63">
        <v>45087</v>
      </c>
      <c r="Y10" s="63"/>
      <c r="Z10" s="63"/>
      <c r="AA10" s="63"/>
      <c r="AB10" s="63"/>
      <c r="AC10" s="62" t="s">
        <v>418</v>
      </c>
      <c r="AD10" s="61">
        <v>26</v>
      </c>
      <c r="AE10" s="63">
        <v>46109</v>
      </c>
      <c r="AF10" s="66" t="s">
        <v>66</v>
      </c>
      <c r="AG10" s="61" t="s">
        <v>413</v>
      </c>
      <c r="AH10" s="107"/>
      <c r="AI10" s="92" t="s">
        <v>413</v>
      </c>
      <c r="AJ10" s="61" t="s">
        <v>66</v>
      </c>
      <c r="AK10" s="63">
        <v>43503</v>
      </c>
      <c r="AL10" s="63" t="s">
        <v>429</v>
      </c>
      <c r="AM10" s="63">
        <v>45402</v>
      </c>
      <c r="AN10" s="63">
        <v>45465</v>
      </c>
      <c r="AO10" s="63">
        <v>45668</v>
      </c>
      <c r="AP10" s="63">
        <v>45759</v>
      </c>
      <c r="AQ10" s="63"/>
    </row>
    <row r="11" spans="1:45" ht="27" customHeight="1">
      <c r="A11" s="61" t="s">
        <v>76</v>
      </c>
      <c r="B11" s="60" t="s">
        <v>155</v>
      </c>
      <c r="C11" s="59" t="s">
        <v>419</v>
      </c>
      <c r="D11" s="96" t="s">
        <v>552</v>
      </c>
      <c r="E11" s="60"/>
      <c r="F11" s="63" t="s">
        <v>71</v>
      </c>
      <c r="G11" s="63" t="s">
        <v>71</v>
      </c>
      <c r="H11" s="63"/>
      <c r="I11" s="63"/>
      <c r="J11" s="63" t="s">
        <v>63</v>
      </c>
      <c r="K11" s="63" t="s">
        <v>410</v>
      </c>
      <c r="L11" s="63" t="s">
        <v>411</v>
      </c>
      <c r="M11" s="63">
        <v>33473</v>
      </c>
      <c r="N11" s="63" t="s">
        <v>71</v>
      </c>
      <c r="O11" s="63">
        <v>46988</v>
      </c>
      <c r="P11" s="61" t="s">
        <v>71</v>
      </c>
      <c r="Q11" s="63">
        <v>48067</v>
      </c>
      <c r="R11" s="61" t="s">
        <v>71</v>
      </c>
      <c r="S11" s="197" t="s">
        <v>553</v>
      </c>
      <c r="T11" s="197" t="s">
        <v>553</v>
      </c>
      <c r="U11" s="197" t="s">
        <v>553</v>
      </c>
      <c r="V11" s="61"/>
      <c r="W11" s="197" t="s">
        <v>553</v>
      </c>
      <c r="X11" s="63">
        <v>45318</v>
      </c>
      <c r="Y11" s="63"/>
      <c r="Z11" s="63"/>
      <c r="AA11" s="63"/>
      <c r="AB11" s="63"/>
      <c r="AC11" s="62" t="s">
        <v>420</v>
      </c>
      <c r="AD11" s="61" t="s">
        <v>64</v>
      </c>
      <c r="AE11" s="63">
        <v>46161</v>
      </c>
      <c r="AF11" s="66" t="s">
        <v>66</v>
      </c>
      <c r="AG11" s="61" t="s">
        <v>413</v>
      </c>
      <c r="AH11" s="107"/>
      <c r="AI11" s="92" t="s">
        <v>413</v>
      </c>
      <c r="AJ11" s="61" t="s">
        <v>66</v>
      </c>
      <c r="AK11" s="63">
        <v>43165</v>
      </c>
      <c r="AL11" s="63"/>
      <c r="AM11" s="63"/>
      <c r="AN11" s="63"/>
      <c r="AO11" s="63"/>
      <c r="AP11" s="63"/>
      <c r="AQ11" s="63"/>
    </row>
    <row r="12" spans="1:45" ht="27" customHeight="1">
      <c r="A12" s="61" t="s">
        <v>76</v>
      </c>
      <c r="B12" s="60" t="s">
        <v>117</v>
      </c>
      <c r="C12" s="59" t="s">
        <v>419</v>
      </c>
      <c r="D12" s="96" t="s">
        <v>552</v>
      </c>
      <c r="E12" s="60"/>
      <c r="F12" s="63" t="s">
        <v>71</v>
      </c>
      <c r="G12" s="63" t="s">
        <v>71</v>
      </c>
      <c r="H12" s="63"/>
      <c r="I12" s="63"/>
      <c r="J12" s="63" t="s">
        <v>63</v>
      </c>
      <c r="K12" s="63" t="s">
        <v>410</v>
      </c>
      <c r="L12" s="63" t="s">
        <v>411</v>
      </c>
      <c r="M12" s="63">
        <v>32617</v>
      </c>
      <c r="N12" s="63" t="s">
        <v>71</v>
      </c>
      <c r="O12" s="63">
        <v>46131</v>
      </c>
      <c r="P12" s="61" t="s">
        <v>71</v>
      </c>
      <c r="Q12" s="63">
        <v>46736</v>
      </c>
      <c r="R12" s="61" t="s">
        <v>71</v>
      </c>
      <c r="S12" s="197" t="s">
        <v>553</v>
      </c>
      <c r="T12" s="197" t="s">
        <v>553</v>
      </c>
      <c r="U12" s="197" t="s">
        <v>553</v>
      </c>
      <c r="V12" s="61"/>
      <c r="W12" s="197" t="s">
        <v>553</v>
      </c>
      <c r="X12" s="63">
        <v>45231</v>
      </c>
      <c r="Y12" s="63"/>
      <c r="Z12" s="63"/>
      <c r="AA12" s="63"/>
      <c r="AB12" s="63"/>
      <c r="AC12" s="62" t="s">
        <v>420</v>
      </c>
      <c r="AD12" s="61" t="s">
        <v>64</v>
      </c>
      <c r="AE12" s="63">
        <v>46024</v>
      </c>
      <c r="AF12" s="66" t="s">
        <v>66</v>
      </c>
      <c r="AG12" s="61" t="s">
        <v>413</v>
      </c>
      <c r="AH12" s="107"/>
      <c r="AI12" s="92" t="s">
        <v>413</v>
      </c>
      <c r="AJ12" s="61" t="s">
        <v>66</v>
      </c>
      <c r="AK12" s="63">
        <v>42430</v>
      </c>
      <c r="AL12" s="63"/>
      <c r="AM12" s="63"/>
      <c r="AN12" s="63"/>
      <c r="AO12" s="63"/>
      <c r="AP12" s="63"/>
      <c r="AQ12" s="63"/>
    </row>
    <row r="13" spans="1:45" s="22" customFormat="1" ht="22.35" customHeight="1">
      <c r="A13" s="61" t="s">
        <v>76</v>
      </c>
      <c r="B13" s="60" t="s">
        <v>88</v>
      </c>
      <c r="C13" s="59" t="s">
        <v>405</v>
      </c>
      <c r="D13" s="96" t="s">
        <v>552</v>
      </c>
      <c r="E13" s="220" t="s">
        <v>484</v>
      </c>
      <c r="F13" s="63"/>
      <c r="G13" s="63" t="s">
        <v>71</v>
      </c>
      <c r="H13" s="63"/>
      <c r="I13" s="63" t="s">
        <v>71</v>
      </c>
      <c r="J13" s="63" t="s">
        <v>63</v>
      </c>
      <c r="K13" s="63" t="s">
        <v>410</v>
      </c>
      <c r="L13" s="63" t="s">
        <v>411</v>
      </c>
      <c r="M13" s="63">
        <v>33842</v>
      </c>
      <c r="N13" s="63" t="s">
        <v>71</v>
      </c>
      <c r="O13" s="63">
        <v>46260</v>
      </c>
      <c r="P13" s="61" t="s">
        <v>71</v>
      </c>
      <c r="Q13" s="63">
        <v>47755</v>
      </c>
      <c r="R13" s="61" t="s">
        <v>71</v>
      </c>
      <c r="S13" s="197" t="s">
        <v>553</v>
      </c>
      <c r="T13" s="197" t="s">
        <v>553</v>
      </c>
      <c r="U13" s="197" t="s">
        <v>553</v>
      </c>
      <c r="V13" s="61"/>
      <c r="W13" s="197" t="s">
        <v>553</v>
      </c>
      <c r="X13" s="63">
        <v>45729</v>
      </c>
      <c r="Y13" s="63"/>
      <c r="Z13" s="63"/>
      <c r="AA13" s="63"/>
      <c r="AB13" s="63"/>
      <c r="AC13" s="62" t="s">
        <v>422</v>
      </c>
      <c r="AD13" s="61">
        <v>26</v>
      </c>
      <c r="AE13" s="63">
        <v>46387</v>
      </c>
      <c r="AF13" s="66" t="s">
        <v>66</v>
      </c>
      <c r="AG13" s="61" t="s">
        <v>66</v>
      </c>
      <c r="AH13" s="107"/>
      <c r="AI13" s="92" t="s">
        <v>413</v>
      </c>
      <c r="AJ13" s="61" t="s">
        <v>66</v>
      </c>
      <c r="AK13" s="63">
        <v>43480</v>
      </c>
      <c r="AL13" s="63" t="s">
        <v>453</v>
      </c>
      <c r="AM13" s="63"/>
      <c r="AN13" s="63"/>
      <c r="AO13" s="63"/>
      <c r="AP13" s="63"/>
      <c r="AQ13" s="63"/>
    </row>
    <row r="14" spans="1:45" s="22" customFormat="1" ht="22.35" customHeight="1">
      <c r="A14" s="61" t="s">
        <v>76</v>
      </c>
      <c r="B14" s="60" t="s">
        <v>117</v>
      </c>
      <c r="C14" s="59" t="s">
        <v>405</v>
      </c>
      <c r="D14" s="96" t="s">
        <v>552</v>
      </c>
      <c r="E14" s="60"/>
      <c r="F14" s="63"/>
      <c r="G14" s="63" t="s">
        <v>71</v>
      </c>
      <c r="H14" s="63" t="s">
        <v>71</v>
      </c>
      <c r="I14" s="63"/>
      <c r="J14" s="63" t="s">
        <v>63</v>
      </c>
      <c r="K14" s="63" t="s">
        <v>410</v>
      </c>
      <c r="L14" s="63" t="s">
        <v>411</v>
      </c>
      <c r="M14" s="63">
        <v>33842</v>
      </c>
      <c r="N14" s="63" t="s">
        <v>71</v>
      </c>
      <c r="O14" s="63">
        <v>46260</v>
      </c>
      <c r="P14" s="61" t="s">
        <v>71</v>
      </c>
      <c r="Q14" s="63">
        <v>47755</v>
      </c>
      <c r="R14" s="61" t="s">
        <v>71</v>
      </c>
      <c r="S14" s="197" t="s">
        <v>553</v>
      </c>
      <c r="T14" s="197" t="s">
        <v>553</v>
      </c>
      <c r="U14" s="197" t="s">
        <v>553</v>
      </c>
      <c r="V14" s="61"/>
      <c r="W14" s="197" t="s">
        <v>553</v>
      </c>
      <c r="X14" s="63">
        <v>46066</v>
      </c>
      <c r="Y14" s="63"/>
      <c r="Z14" s="63"/>
      <c r="AA14" s="63"/>
      <c r="AB14" s="63"/>
      <c r="AC14" s="62" t="s">
        <v>422</v>
      </c>
      <c r="AD14" s="61">
        <v>26</v>
      </c>
      <c r="AE14" s="63">
        <v>46387</v>
      </c>
      <c r="AF14" s="66" t="s">
        <v>66</v>
      </c>
      <c r="AG14" s="61" t="s">
        <v>413</v>
      </c>
      <c r="AH14" s="107"/>
      <c r="AI14" s="92" t="s">
        <v>413</v>
      </c>
      <c r="AJ14" s="61" t="s">
        <v>66</v>
      </c>
      <c r="AK14" s="63">
        <v>43480</v>
      </c>
      <c r="AL14" s="63" t="s">
        <v>453</v>
      </c>
      <c r="AM14" s="63"/>
      <c r="AN14" s="63"/>
      <c r="AO14" s="63"/>
      <c r="AP14" s="63"/>
      <c r="AQ14" s="63"/>
    </row>
    <row r="15" spans="1:45" ht="22.35" customHeight="1">
      <c r="A15" s="61" t="s">
        <v>76</v>
      </c>
      <c r="B15" s="94" t="s">
        <v>146</v>
      </c>
      <c r="C15" s="59" t="s">
        <v>423</v>
      </c>
      <c r="D15" s="96" t="s">
        <v>552</v>
      </c>
      <c r="E15" s="60"/>
      <c r="F15" s="63" t="s">
        <v>71</v>
      </c>
      <c r="G15" s="63"/>
      <c r="H15" s="63"/>
      <c r="I15" s="63"/>
      <c r="J15" s="63" t="s">
        <v>89</v>
      </c>
      <c r="K15" s="63" t="s">
        <v>410</v>
      </c>
      <c r="L15" s="63" t="s">
        <v>411</v>
      </c>
      <c r="M15" s="63">
        <v>24769</v>
      </c>
      <c r="N15" s="63" t="s">
        <v>71</v>
      </c>
      <c r="O15" s="63">
        <v>47415</v>
      </c>
      <c r="P15" s="61"/>
      <c r="Q15" s="63"/>
      <c r="R15" s="61"/>
      <c r="S15" s="197" t="s">
        <v>553</v>
      </c>
      <c r="T15" s="197" t="s">
        <v>553</v>
      </c>
      <c r="U15" s="197" t="s">
        <v>553</v>
      </c>
      <c r="V15" s="61"/>
      <c r="W15" s="197" t="s">
        <v>553</v>
      </c>
      <c r="X15" s="63">
        <v>44844</v>
      </c>
      <c r="Y15" s="63"/>
      <c r="Z15" s="63"/>
      <c r="AA15" s="63"/>
      <c r="AB15" s="63"/>
      <c r="AC15" s="62" t="s">
        <v>424</v>
      </c>
      <c r="AD15" s="61" t="s">
        <v>64</v>
      </c>
      <c r="AE15" s="63">
        <v>46022</v>
      </c>
      <c r="AF15" s="66" t="s">
        <v>66</v>
      </c>
      <c r="AG15" s="61" t="s">
        <v>413</v>
      </c>
      <c r="AH15" s="61"/>
      <c r="AI15" s="92"/>
      <c r="AJ15" s="61" t="s">
        <v>69</v>
      </c>
      <c r="AK15" s="63">
        <v>34498</v>
      </c>
      <c r="AL15" s="63"/>
      <c r="AM15" s="63"/>
      <c r="AN15" s="63"/>
      <c r="AO15" s="63"/>
      <c r="AP15" s="63"/>
      <c r="AQ15" s="63"/>
    </row>
    <row r="16" spans="1:45" s="22" customFormat="1" ht="22.35" customHeight="1">
      <c r="A16" s="61" t="s">
        <v>76</v>
      </c>
      <c r="B16" s="60" t="s">
        <v>75</v>
      </c>
      <c r="C16" s="59" t="s">
        <v>415</v>
      </c>
      <c r="D16" s="96" t="s">
        <v>552</v>
      </c>
      <c r="E16" s="60"/>
      <c r="F16" s="63"/>
      <c r="G16" s="63" t="s">
        <v>71</v>
      </c>
      <c r="H16" s="63" t="s">
        <v>71</v>
      </c>
      <c r="I16" s="63"/>
      <c r="J16" s="63" t="s">
        <v>89</v>
      </c>
      <c r="K16" s="63" t="s">
        <v>410</v>
      </c>
      <c r="L16" s="63" t="s">
        <v>411</v>
      </c>
      <c r="M16" s="63">
        <v>21663</v>
      </c>
      <c r="N16" s="63" t="s">
        <v>71</v>
      </c>
      <c r="O16" s="63">
        <v>46500</v>
      </c>
      <c r="P16" s="61" t="s">
        <v>71</v>
      </c>
      <c r="Q16" s="63">
        <v>46934</v>
      </c>
      <c r="R16" s="61" t="s">
        <v>71</v>
      </c>
      <c r="S16" s="197" t="s">
        <v>553</v>
      </c>
      <c r="T16" s="197" t="s">
        <v>553</v>
      </c>
      <c r="U16" s="197" t="s">
        <v>553</v>
      </c>
      <c r="V16" s="61"/>
      <c r="W16" s="197" t="s">
        <v>553</v>
      </c>
      <c r="X16" s="63">
        <v>45941</v>
      </c>
      <c r="Y16" s="63"/>
      <c r="Z16" s="63"/>
      <c r="AA16" s="63"/>
      <c r="AB16" s="63"/>
      <c r="AC16" s="62" t="s">
        <v>425</v>
      </c>
      <c r="AD16" s="61">
        <v>26</v>
      </c>
      <c r="AE16" s="63">
        <v>46387</v>
      </c>
      <c r="AF16" s="66" t="s">
        <v>66</v>
      </c>
      <c r="AG16" s="61" t="s">
        <v>413</v>
      </c>
      <c r="AH16" s="107"/>
      <c r="AI16" s="92" t="s">
        <v>413</v>
      </c>
      <c r="AJ16" s="61" t="s">
        <v>66</v>
      </c>
      <c r="AK16" s="63">
        <v>43543</v>
      </c>
      <c r="AL16" s="63"/>
      <c r="AM16" s="63"/>
      <c r="AN16" s="63"/>
      <c r="AO16" s="63"/>
      <c r="AP16" s="63"/>
      <c r="AQ16" s="63"/>
    </row>
  </sheetData>
  <autoFilter ref="A1:AP16" xr:uid="{00000000-0001-0000-0200-000000000000}">
    <sortState xmlns:xlrd2="http://schemas.microsoft.com/office/spreadsheetml/2017/richdata2" ref="A2:AP16">
      <sortCondition ref="D1:D16"/>
    </sortState>
  </autoFilter>
  <sortState xmlns:xlrd2="http://schemas.microsoft.com/office/spreadsheetml/2017/richdata2" ref="A1:AQ16">
    <sortCondition ref="D8:D16"/>
  </sortState>
  <mergeCells count="1">
    <mergeCell ref="AM1:AQ1"/>
  </mergeCells>
  <phoneticPr fontId="2" type="noConversion"/>
  <conditionalFormatting sqref="AI2:AQ5 AS2:XFD6 AI6:AI7 AJ7:XFD7 AE7 AD11:AG12 AI11:XFD12 AL13:XFD13 AD14:XFD15 A17:AG1048576 AJ17:AM1048576 AQ17:XFD1048576 V8:V16 A3:U16 A2:AG2 V3:V5 X3:AG5 X16:XFD16 X8:AC15 W2:W16">
    <cfRule type="expression" dxfId="12" priority="24">
      <formula>$A2="N.A."</formula>
    </cfRule>
  </conditionalFormatting>
  <conditionalFormatting sqref="A1:AM1 AR1:XFD1 AJ6:AQ6 V7 AD8:XFD8 AD9:AG10 AD13:AK13 X6:AG7">
    <cfRule type="expression" dxfId="11" priority="153">
      <formula>$A1="N.A."</formula>
    </cfRule>
  </conditionalFormatting>
  <conditionalFormatting sqref="W1:X2 AI2:AQ5 N2:R6 AF2:AG6 AI6:AI7 AL7 AF11:AG12 AI11:AQ12 AL13:AQ13 X8:X16 N8:R16 F1:I16 AF14:AQ16 X3:X6">
    <cfRule type="containsBlanks" dxfId="10" priority="90">
      <formula>LEN(TRIM(F1))=0</formula>
    </cfRule>
  </conditionalFormatting>
  <conditionalFormatting sqref="N1:T1 AL7:AQ7">
    <cfRule type="containsBlanks" dxfId="9" priority="130">
      <formula>LEN(TRIM(N1))=0</formula>
    </cfRule>
  </conditionalFormatting>
  <conditionalFormatting sqref="O2:O1048576 Q2:Q1048576 AE2:AE1048576">
    <cfRule type="containsBlanks" dxfId="8" priority="131">
      <formula>LEN(TRIM(O2))=0</formula>
    </cfRule>
  </conditionalFormatting>
  <conditionalFormatting sqref="AE2:AE1048576 O2:O1048576 Q2:Q1048576">
    <cfRule type="cellIs" dxfId="7" priority="182" operator="greaterThan">
      <formula>$AS$1</formula>
    </cfRule>
    <cfRule type="cellIs" dxfId="6" priority="183" operator="lessThan">
      <formula>$AS$1</formula>
    </cfRule>
  </conditionalFormatting>
  <conditionalFormatting sqref="AJ6:AQ6">
    <cfRule type="containsBlanks" dxfId="5" priority="109">
      <formula>LEN(TRIM(AJ6))=0</formula>
    </cfRule>
  </conditionalFormatting>
  <conditionalFormatting sqref="AF1:AM1 AF8:AQ8 AF9:AG10 AF13:AK13">
    <cfRule type="containsBlanks" dxfId="4" priority="99">
      <formula>LEN(TRIM(AF1))=0</formula>
    </cfRule>
  </conditionalFormatting>
  <conditionalFormatting sqref="AI9:AQ10">
    <cfRule type="containsBlanks" dxfId="3" priority="100">
      <formula>LEN(TRIM(AI9))=0</formula>
    </cfRule>
  </conditionalFormatting>
  <conditionalFormatting sqref="AI9:XFD10">
    <cfRule type="expression" dxfId="2" priority="101">
      <formula>$A9="N.A."</formula>
    </cfRule>
  </conditionalFormatting>
  <conditionalFormatting sqref="AS1">
    <cfRule type="containsBlanks" dxfId="1" priority="128">
      <formula>LEN(TRIM(AS1))=0</formula>
    </cfRule>
  </conditionalFormatting>
  <conditionalFormatting sqref="V6">
    <cfRule type="expression" dxfId="0" priority="1">
      <formula>$A6="N.A."</formula>
    </cfRule>
  </conditionalFormatting>
  <hyperlinks>
    <hyperlink ref="S3" r:id="rId1" display="aiellogabriele1177@gmail.com" xr:uid="{D63C8F3E-D391-4E46-829D-057239F0613F}"/>
    <hyperlink ref="S4:S16" r:id="rId2" display="aiellogabriele1177@gmail.com" xr:uid="{15C82538-421A-4B02-A46B-2ADC31AF1136}"/>
    <hyperlink ref="T3:T16" r:id="rId3" display="aiellogabriele1177@gmail.com" xr:uid="{DF21ED97-B1ED-437C-ACAF-914B5B5629F8}"/>
    <hyperlink ref="U3:U16" r:id="rId4" display="aiellogabriele1177@gmail.com" xr:uid="{119DD941-B2F4-44AD-9E0E-163FD002DD8E}"/>
    <hyperlink ref="V3:V5" r:id="rId5" display="aiellogabriele1177@gmail.com" xr:uid="{5B108D15-9E69-4D56-ADB3-68FFFE005097}"/>
    <hyperlink ref="V6" r:id="rId6" display="aiellogabriele1177@gmail.com" xr:uid="{4A64FF3D-96EA-4FDD-9E2A-ED1248772CCD}"/>
    <hyperlink ref="W3:W16" r:id="rId7" display="aiellogabriele1177@gmail.com" xr:uid="{72F3AFE2-142A-4E84-9241-E3BC0820E94F}"/>
  </hyperlinks>
  <pageMargins left="0.25" right="0.25" top="0.75" bottom="0.75" header="0.3" footer="0.3"/>
  <pageSetup paperSize="9" fitToWidth="0" orientation="portrait" r:id="rId8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D94AA65-C64A-41CC-AC48-50D9D72E8EC0}">
          <x14:formula1>
            <xm:f>#REF!</xm:f>
          </x14:formula1>
          <xm:sqref>AF1:AG1 AH8:AI8 AJ1 AI2:AI7 AI9:AI12 AJ7:AJ16 AF7:AG16 AH13:AI16</xm:sqref>
        </x14:dataValidation>
        <x14:dataValidation type="list" allowBlank="1" showInputMessage="1" showErrorMessage="1" xr:uid="{13DE5754-8146-4DA9-97D9-DE044140D591}">
          <x14:formula1>
            <xm:f>#REF!</xm:f>
          </x14:formula1>
          <xm:sqref>AJ1:AJ1048576</xm:sqref>
        </x14:dataValidation>
        <x14:dataValidation type="list" allowBlank="1" showInputMessage="1" showErrorMessage="1" xr:uid="{92EDD681-C3F1-4B77-85B1-2C91D3079439}">
          <x14:formula1>
            <xm:f>#REF!</xm:f>
          </x14:formula1>
          <xm:sqref>Z1 Z7:Z1048576</xm:sqref>
        </x14:dataValidation>
        <x14:dataValidation type="list" allowBlank="1" showInputMessage="1" showErrorMessage="1" xr:uid="{10ED2D25-9287-4F4B-A234-A7E23C4E15DC}">
          <x14:formula1>
            <xm:f>#REF!</xm:f>
          </x14:formula1>
          <xm:sqref>C1:C1048576</xm:sqref>
        </x14:dataValidation>
        <x14:dataValidation type="list" allowBlank="1" showInputMessage="1" showErrorMessage="1" xr:uid="{87ED07EA-9050-4576-A7D6-5CEC7775A876}">
          <x14:formula1>
            <xm:f>#REF!</xm:f>
          </x14:formula1>
          <xm:sqref>A1:A1048576</xm:sqref>
        </x14:dataValidation>
        <x14:dataValidation type="list" allowBlank="1" showInputMessage="1" showErrorMessage="1" xr:uid="{D317E56B-831E-47EC-B8A0-407F3D1D26F5}">
          <x14:formula1>
            <xm:f>#REF!</xm:f>
          </x14:formula1>
          <xm:sqref>B1:B1048576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Checklist PERSONALE</vt:lpstr>
      <vt:lpstr>PROGRAM</vt:lpstr>
      <vt:lpstr>FORMAZIONE IN CORSO</vt:lpstr>
      <vt:lpstr>MATERNITA</vt:lpstr>
      <vt:lpstr>COSTS&amp;RULES</vt:lpstr>
      <vt:lpstr>Checklist DOTTORI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Confident Studi Dentistici</cp:lastModifiedBy>
  <cp:revision/>
  <dcterms:created xsi:type="dcterms:W3CDTF">2023-03-30T07:13:42Z</dcterms:created>
  <dcterms:modified xsi:type="dcterms:W3CDTF">2026-04-30T13:54:51Z</dcterms:modified>
  <cp:category/>
  <cp:contentStatus/>
</cp:coreProperties>
</file>